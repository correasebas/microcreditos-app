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milo\Desktop\"/>
    </mc:Choice>
  </mc:AlternateContent>
  <xr:revisionPtr revIDLastSave="0" documentId="13_ncr:1_{F1D7D0B3-68A8-45E5-9BFC-8D13DE509AE2}" xr6:coauthVersionLast="47" xr6:coauthVersionMax="47" xr10:uidLastSave="{00000000-0000-0000-0000-000000000000}"/>
  <bookViews>
    <workbookView xWindow="-120" yWindow="-120" windowWidth="29040" windowHeight="15840" activeTab="5" xr2:uid="{83B52721-0A58-4C34-8F02-BB96E058CA56}"/>
  </bookViews>
  <sheets>
    <sheet name="Clientes" sheetId="1" r:id="rId1"/>
    <sheet name="Creditos" sheetId="2" r:id="rId2"/>
    <sheet name="Pagos" sheetId="3" r:id="rId3"/>
    <sheet name="Estado_Cartera" sheetId="7" r:id="rId4"/>
    <sheet name="Calendario_Intereses" sheetId="9" r:id="rId5"/>
    <sheet name="Resumen_Cartera" sheetId="10" r:id="rId6"/>
  </sheets>
  <definedNames>
    <definedName name="_xlnm._FilterDatabase" localSheetId="1" hidden="1">Creditos!$A$1:$N$15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0" l="1"/>
  <c r="B4" i="10"/>
  <c r="B3" i="10"/>
  <c r="H7" i="7"/>
  <c r="H12" i="7"/>
  <c r="H14" i="7"/>
  <c r="H15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2" i="7"/>
  <c r="K3" i="2"/>
  <c r="K4" i="2"/>
  <c r="K5" i="2"/>
  <c r="K6" i="2"/>
  <c r="K7" i="2"/>
  <c r="K8" i="2"/>
  <c r="K9" i="2"/>
  <c r="K10" i="2"/>
  <c r="K11" i="2"/>
  <c r="K12" i="2"/>
  <c r="K13" i="2"/>
  <c r="K14" i="2"/>
  <c r="K15" i="2"/>
  <c r="K2" i="2"/>
  <c r="I7" i="7"/>
  <c r="I14" i="7"/>
  <c r="I15" i="7"/>
  <c r="J15" i="7" s="1"/>
  <c r="G7" i="7"/>
  <c r="G12" i="7"/>
  <c r="G14" i="7"/>
  <c r="G15" i="7"/>
  <c r="C3" i="9"/>
  <c r="D3" i="9" s="1"/>
  <c r="E3" i="9" s="1"/>
  <c r="C4" i="9"/>
  <c r="D4" i="9" s="1"/>
  <c r="E4" i="9" s="1"/>
  <c r="C5" i="9"/>
  <c r="D5" i="9" s="1"/>
  <c r="E5" i="9" s="1"/>
  <c r="C6" i="9"/>
  <c r="D6" i="9" s="1"/>
  <c r="E6" i="9" s="1"/>
  <c r="C7" i="9"/>
  <c r="D7" i="9" s="1"/>
  <c r="E7" i="9" s="1"/>
  <c r="C8" i="9"/>
  <c r="D8" i="9" s="1"/>
  <c r="E8" i="9" s="1"/>
  <c r="C9" i="9"/>
  <c r="D9" i="9" s="1"/>
  <c r="E9" i="9" s="1"/>
  <c r="C10" i="9"/>
  <c r="D10" i="9" s="1"/>
  <c r="E10" i="9" s="1"/>
  <c r="C11" i="9"/>
  <c r="D11" i="9" s="1"/>
  <c r="E11" i="9" s="1"/>
  <c r="C12" i="9"/>
  <c r="D12" i="9" s="1"/>
  <c r="E12" i="9" s="1"/>
  <c r="C13" i="9"/>
  <c r="D13" i="9" s="1"/>
  <c r="E13" i="9" s="1"/>
  <c r="C14" i="9"/>
  <c r="D14" i="9" s="1"/>
  <c r="E14" i="9" s="1"/>
  <c r="C15" i="9"/>
  <c r="D15" i="9" s="1"/>
  <c r="E15" i="9" s="1"/>
  <c r="C16" i="9"/>
  <c r="D16" i="9" s="1"/>
  <c r="E16" i="9" s="1"/>
  <c r="C17" i="9"/>
  <c r="D17" i="9" s="1"/>
  <c r="E17" i="9" s="1"/>
  <c r="C18" i="9"/>
  <c r="D18" i="9" s="1"/>
  <c r="E18" i="9" s="1"/>
  <c r="C19" i="9"/>
  <c r="D19" i="9" s="1"/>
  <c r="E19" i="9" s="1"/>
  <c r="C20" i="9"/>
  <c r="D20" i="9" s="1"/>
  <c r="E20" i="9" s="1"/>
  <c r="C21" i="9"/>
  <c r="D21" i="9" s="1"/>
  <c r="E21" i="9" s="1"/>
  <c r="C22" i="9"/>
  <c r="D22" i="9" s="1"/>
  <c r="E22" i="9" s="1"/>
  <c r="C23" i="9"/>
  <c r="D23" i="9" s="1"/>
  <c r="E23" i="9" s="1"/>
  <c r="C24" i="9"/>
  <c r="D24" i="9" s="1"/>
  <c r="E24" i="9" s="1"/>
  <c r="C25" i="9"/>
  <c r="D25" i="9" s="1"/>
  <c r="E25" i="9" s="1"/>
  <c r="C26" i="9"/>
  <c r="D26" i="9" s="1"/>
  <c r="E26" i="9" s="1"/>
  <c r="C27" i="9"/>
  <c r="D27" i="9" s="1"/>
  <c r="E27" i="9" s="1"/>
  <c r="C28" i="9"/>
  <c r="D28" i="9" s="1"/>
  <c r="E28" i="9" s="1"/>
  <c r="C29" i="9"/>
  <c r="D29" i="9" s="1"/>
  <c r="E29" i="9" s="1"/>
  <c r="C30" i="9"/>
  <c r="D30" i="9" s="1"/>
  <c r="E30" i="9" s="1"/>
  <c r="C31" i="9"/>
  <c r="D31" i="9" s="1"/>
  <c r="E31" i="9" s="1"/>
  <c r="C32" i="9"/>
  <c r="D32" i="9" s="1"/>
  <c r="E32" i="9" s="1"/>
  <c r="C33" i="9"/>
  <c r="D33" i="9" s="1"/>
  <c r="E33" i="9" s="1"/>
  <c r="C34" i="9"/>
  <c r="D34" i="9" s="1"/>
  <c r="E34" i="9" s="1"/>
  <c r="C35" i="9"/>
  <c r="D35" i="9" s="1"/>
  <c r="E35" i="9" s="1"/>
  <c r="C36" i="9"/>
  <c r="D36" i="9" s="1"/>
  <c r="E36" i="9" s="1"/>
  <c r="C37" i="9"/>
  <c r="D37" i="9" s="1"/>
  <c r="E37" i="9" s="1"/>
  <c r="C38" i="9"/>
  <c r="D38" i="9" s="1"/>
  <c r="E38" i="9" s="1"/>
  <c r="C39" i="9"/>
  <c r="D39" i="9" s="1"/>
  <c r="E39" i="9" s="1"/>
  <c r="C40" i="9"/>
  <c r="D40" i="9" s="1"/>
  <c r="E40" i="9" s="1"/>
  <c r="C41" i="9"/>
  <c r="D41" i="9" s="1"/>
  <c r="E41" i="9" s="1"/>
  <c r="C42" i="9"/>
  <c r="D42" i="9" s="1"/>
  <c r="E42" i="9" s="1"/>
  <c r="C43" i="9"/>
  <c r="D43" i="9" s="1"/>
  <c r="E43" i="9" s="1"/>
  <c r="C44" i="9"/>
  <c r="D44" i="9" s="1"/>
  <c r="E44" i="9" s="1"/>
  <c r="C45" i="9"/>
  <c r="D45" i="9" s="1"/>
  <c r="E45" i="9" s="1"/>
  <c r="C46" i="9"/>
  <c r="D46" i="9" s="1"/>
  <c r="E46" i="9" s="1"/>
  <c r="C47" i="9"/>
  <c r="D47" i="9" s="1"/>
  <c r="E47" i="9" s="1"/>
  <c r="C48" i="9"/>
  <c r="D48" i="9" s="1"/>
  <c r="E48" i="9" s="1"/>
  <c r="C49" i="9"/>
  <c r="D49" i="9" s="1"/>
  <c r="E49" i="9" s="1"/>
  <c r="C50" i="9"/>
  <c r="D50" i="9" s="1"/>
  <c r="E50" i="9" s="1"/>
  <c r="C51" i="9"/>
  <c r="D51" i="9" s="1"/>
  <c r="E51" i="9" s="1"/>
  <c r="C52" i="9"/>
  <c r="D52" i="9" s="1"/>
  <c r="E52" i="9" s="1"/>
  <c r="C53" i="9"/>
  <c r="D53" i="9" s="1"/>
  <c r="E53" i="9" s="1"/>
  <c r="C54" i="9"/>
  <c r="D54" i="9" s="1"/>
  <c r="E54" i="9" s="1"/>
  <c r="C55" i="9"/>
  <c r="D55" i="9" s="1"/>
  <c r="E55" i="9" s="1"/>
  <c r="C56" i="9"/>
  <c r="D56" i="9" s="1"/>
  <c r="E56" i="9" s="1"/>
  <c r="C57" i="9"/>
  <c r="D57" i="9" s="1"/>
  <c r="E57" i="9" s="1"/>
  <c r="C58" i="9"/>
  <c r="D58" i="9" s="1"/>
  <c r="E58" i="9" s="1"/>
  <c r="C59" i="9"/>
  <c r="D59" i="9" s="1"/>
  <c r="E59" i="9" s="1"/>
  <c r="C60" i="9"/>
  <c r="D60" i="9" s="1"/>
  <c r="E60" i="9" s="1"/>
  <c r="C61" i="9"/>
  <c r="D61" i="9" s="1"/>
  <c r="E61" i="9" s="1"/>
  <c r="C62" i="9"/>
  <c r="D62" i="9" s="1"/>
  <c r="E62" i="9" s="1"/>
  <c r="C63" i="9"/>
  <c r="D63" i="9" s="1"/>
  <c r="E63" i="9" s="1"/>
  <c r="F63" i="9" s="1"/>
  <c r="G63" i="9" s="1"/>
  <c r="G13" i="7" s="1"/>
  <c r="H13" i="7" s="1"/>
  <c r="C2" i="9"/>
  <c r="D2" i="9" s="1"/>
  <c r="E2" i="9" s="1"/>
  <c r="L4" i="7"/>
  <c r="P60" i="3"/>
  <c r="P58" i="3"/>
  <c r="M69" i="3"/>
  <c r="L69" i="3" s="1"/>
  <c r="M2" i="3"/>
  <c r="L2" i="3" s="1"/>
  <c r="M3" i="3"/>
  <c r="M4" i="3"/>
  <c r="M5" i="3"/>
  <c r="M6" i="3"/>
  <c r="M7" i="3"/>
  <c r="M8" i="3"/>
  <c r="M9" i="3"/>
  <c r="M10" i="3"/>
  <c r="L10" i="3" s="1"/>
  <c r="M11" i="3"/>
  <c r="M12" i="3"/>
  <c r="M13" i="3"/>
  <c r="M14" i="3"/>
  <c r="M15" i="3"/>
  <c r="M16" i="3"/>
  <c r="M17" i="3"/>
  <c r="M18" i="3"/>
  <c r="L18" i="3" s="1"/>
  <c r="M19" i="3"/>
  <c r="M20" i="3"/>
  <c r="M21" i="3"/>
  <c r="M22" i="3"/>
  <c r="M23" i="3"/>
  <c r="M24" i="3"/>
  <c r="L24" i="3" s="1"/>
  <c r="M25" i="3"/>
  <c r="M26" i="3"/>
  <c r="L26" i="3" s="1"/>
  <c r="M27" i="3"/>
  <c r="M28" i="3"/>
  <c r="M29" i="3"/>
  <c r="M30" i="3"/>
  <c r="M31" i="3"/>
  <c r="M32" i="3"/>
  <c r="L32" i="3" s="1"/>
  <c r="M33" i="3"/>
  <c r="M34" i="3"/>
  <c r="L34" i="3" s="1"/>
  <c r="M35" i="3"/>
  <c r="L35" i="3" s="1"/>
  <c r="M36" i="3"/>
  <c r="M37" i="3"/>
  <c r="M38" i="3"/>
  <c r="M39" i="3"/>
  <c r="M40" i="3"/>
  <c r="L40" i="3" s="1"/>
  <c r="M41" i="3"/>
  <c r="M42" i="3"/>
  <c r="L42" i="3" s="1"/>
  <c r="M43" i="3"/>
  <c r="L43" i="3" s="1"/>
  <c r="M44" i="3"/>
  <c r="M45" i="3"/>
  <c r="M46" i="3"/>
  <c r="M47" i="3"/>
  <c r="L47" i="3" s="1"/>
  <c r="M48" i="3"/>
  <c r="L48" i="3" s="1"/>
  <c r="M49" i="3"/>
  <c r="M50" i="3"/>
  <c r="L50" i="3" s="1"/>
  <c r="M51" i="3"/>
  <c r="L51" i="3" s="1"/>
  <c r="M52" i="3"/>
  <c r="M53" i="3"/>
  <c r="M54" i="3"/>
  <c r="M55" i="3"/>
  <c r="L55" i="3" s="1"/>
  <c r="M56" i="3"/>
  <c r="L56" i="3" s="1"/>
  <c r="M57" i="3"/>
  <c r="M58" i="3"/>
  <c r="L58" i="3" s="1"/>
  <c r="M59" i="3"/>
  <c r="L59" i="3" s="1"/>
  <c r="M60" i="3"/>
  <c r="M61" i="3"/>
  <c r="M62" i="3"/>
  <c r="M63" i="3"/>
  <c r="L63" i="3" s="1"/>
  <c r="M64" i="3"/>
  <c r="L64" i="3" s="1"/>
  <c r="M65" i="3"/>
  <c r="L65" i="3" s="1"/>
  <c r="M66" i="3"/>
  <c r="L66" i="3" s="1"/>
  <c r="M67" i="3"/>
  <c r="L67" i="3" s="1"/>
  <c r="M68" i="3"/>
  <c r="L68" i="3" s="1"/>
  <c r="L3" i="3"/>
  <c r="L4" i="3"/>
  <c r="L5" i="3"/>
  <c r="L6" i="3"/>
  <c r="L7" i="3"/>
  <c r="L8" i="3"/>
  <c r="L9" i="3"/>
  <c r="L11" i="3"/>
  <c r="L12" i="3"/>
  <c r="L13" i="3"/>
  <c r="L14" i="3"/>
  <c r="L15" i="3"/>
  <c r="L16" i="3"/>
  <c r="L17" i="3"/>
  <c r="L19" i="3"/>
  <c r="L20" i="3"/>
  <c r="L21" i="3"/>
  <c r="L22" i="3"/>
  <c r="L23" i="3"/>
  <c r="L25" i="3"/>
  <c r="L27" i="3"/>
  <c r="L28" i="3"/>
  <c r="L29" i="3"/>
  <c r="L30" i="3"/>
  <c r="L31" i="3"/>
  <c r="L33" i="3"/>
  <c r="L36" i="3"/>
  <c r="L37" i="3"/>
  <c r="L38" i="3"/>
  <c r="L39" i="3"/>
  <c r="L41" i="3"/>
  <c r="L44" i="3"/>
  <c r="L45" i="3"/>
  <c r="L46" i="3"/>
  <c r="L49" i="3"/>
  <c r="L52" i="3"/>
  <c r="L53" i="3"/>
  <c r="L54" i="3"/>
  <c r="L57" i="3"/>
  <c r="L60" i="3"/>
  <c r="L61" i="3"/>
  <c r="L62" i="3"/>
  <c r="T42" i="3"/>
  <c r="J7" i="7" l="1"/>
  <c r="L7" i="2" s="1"/>
  <c r="J14" i="7"/>
  <c r="L14" i="2" s="1"/>
  <c r="L15" i="2"/>
  <c r="I12" i="7"/>
  <c r="F26" i="9"/>
  <c r="G26" i="9" s="1"/>
  <c r="F54" i="9"/>
  <c r="G54" i="9" s="1"/>
  <c r="F40" i="9"/>
  <c r="G40" i="9" s="1"/>
  <c r="F39" i="9"/>
  <c r="G39" i="9" s="1"/>
  <c r="F38" i="9"/>
  <c r="G38" i="9" s="1"/>
  <c r="F41" i="9"/>
  <c r="G41" i="9" s="1"/>
  <c r="F36" i="9"/>
  <c r="G36" i="9" s="1"/>
  <c r="F37" i="9"/>
  <c r="G37" i="9" s="1"/>
  <c r="F5" i="9"/>
  <c r="G5" i="9" s="1"/>
  <c r="F2" i="9"/>
  <c r="G2" i="9" s="1"/>
  <c r="F3" i="9"/>
  <c r="G3" i="9" s="1"/>
  <c r="F4" i="9"/>
  <c r="G4" i="9" s="1"/>
  <c r="F29" i="9"/>
  <c r="G29" i="9" s="1"/>
  <c r="F30" i="9"/>
  <c r="G30" i="9" s="1"/>
  <c r="F23" i="9"/>
  <c r="G23" i="9" s="1"/>
  <c r="F24" i="9"/>
  <c r="G24" i="9" s="1"/>
  <c r="F25" i="9"/>
  <c r="G25" i="9" s="1"/>
  <c r="F28" i="9"/>
  <c r="G28" i="9" s="1"/>
  <c r="F6" i="9"/>
  <c r="G6" i="9" s="1"/>
  <c r="F7" i="9"/>
  <c r="G7" i="9" s="1"/>
  <c r="F9" i="9"/>
  <c r="G9" i="9" s="1"/>
  <c r="F12" i="9"/>
  <c r="G12" i="9" s="1"/>
  <c r="F8" i="9"/>
  <c r="G8" i="9" s="1"/>
  <c r="F22" i="9"/>
  <c r="G22" i="9" s="1"/>
  <c r="F13" i="9"/>
  <c r="G13" i="9" s="1"/>
  <c r="F49" i="9"/>
  <c r="G49" i="9" s="1"/>
  <c r="F47" i="9"/>
  <c r="G47" i="9" s="1"/>
  <c r="F48" i="9"/>
  <c r="G48" i="9" s="1"/>
  <c r="F31" i="9"/>
  <c r="G31" i="9" s="1"/>
  <c r="F33" i="9"/>
  <c r="G33" i="9" s="1"/>
  <c r="F32" i="9"/>
  <c r="G32" i="9" s="1"/>
  <c r="F42" i="9"/>
  <c r="G42" i="9" s="1"/>
  <c r="F43" i="9"/>
  <c r="G43" i="9" s="1"/>
  <c r="F45" i="9"/>
  <c r="G45" i="9" s="1"/>
  <c r="F46" i="9"/>
  <c r="G46" i="9" s="1"/>
  <c r="F44" i="9"/>
  <c r="G44" i="9" s="1"/>
  <c r="F16" i="9"/>
  <c r="G16" i="9" s="1"/>
  <c r="F15" i="9"/>
  <c r="G15" i="9" s="1"/>
  <c r="F17" i="9"/>
  <c r="G17" i="9" s="1"/>
  <c r="F20" i="9"/>
  <c r="G20" i="9" s="1"/>
  <c r="F14" i="9"/>
  <c r="G14" i="9" s="1"/>
  <c r="F21" i="9"/>
  <c r="G21" i="9" s="1"/>
  <c r="I13" i="7"/>
  <c r="F61" i="9"/>
  <c r="G61" i="9" s="1"/>
  <c r="F60" i="9"/>
  <c r="G60" i="9" s="1"/>
  <c r="F51" i="9"/>
  <c r="G51" i="9" s="1"/>
  <c r="F35" i="9"/>
  <c r="G35" i="9" s="1"/>
  <c r="F27" i="9"/>
  <c r="G27" i="9" s="1"/>
  <c r="F19" i="9"/>
  <c r="G19" i="9" s="1"/>
  <c r="F11" i="9"/>
  <c r="G11" i="9" s="1"/>
  <c r="F59" i="9"/>
  <c r="G59" i="9" s="1"/>
  <c r="F58" i="9"/>
  <c r="G58" i="9" s="1"/>
  <c r="F50" i="9"/>
  <c r="G50" i="9" s="1"/>
  <c r="F34" i="9"/>
  <c r="G34" i="9" s="1"/>
  <c r="F18" i="9"/>
  <c r="G18" i="9" s="1"/>
  <c r="F10" i="9"/>
  <c r="G10" i="9" s="1"/>
  <c r="F52" i="9"/>
  <c r="G52" i="9" s="1"/>
  <c r="F55" i="9"/>
  <c r="G55" i="9" s="1"/>
  <c r="F53" i="9"/>
  <c r="G53" i="9" s="1"/>
  <c r="F57" i="9"/>
  <c r="G57" i="9" s="1"/>
  <c r="F56" i="9"/>
  <c r="G56" i="9" s="1"/>
  <c r="F62" i="9"/>
  <c r="G62" i="9" s="1"/>
  <c r="J12" i="7" l="1"/>
  <c r="L12" i="2" s="1"/>
  <c r="J13" i="7"/>
  <c r="L13" i="2" s="1"/>
  <c r="I6" i="7"/>
  <c r="I8" i="7"/>
  <c r="G6" i="7"/>
  <c r="H6" i="7" s="1"/>
  <c r="I2" i="7"/>
  <c r="G2" i="7"/>
  <c r="G8" i="7"/>
  <c r="H8" i="7" s="1"/>
  <c r="I10" i="7"/>
  <c r="G10" i="7"/>
  <c r="H10" i="7" s="1"/>
  <c r="G5" i="7"/>
  <c r="H5" i="7" s="1"/>
  <c r="G3" i="7"/>
  <c r="H3" i="7" s="1"/>
  <c r="G4" i="7"/>
  <c r="H4" i="7" s="1"/>
  <c r="I11" i="7"/>
  <c r="I5" i="7"/>
  <c r="I4" i="7"/>
  <c r="I9" i="7"/>
  <c r="I3" i="7"/>
  <c r="G9" i="7"/>
  <c r="H9" i="7" s="1"/>
  <c r="G11" i="7"/>
  <c r="H11" i="7" s="1"/>
  <c r="B7" i="10" l="1"/>
  <c r="H2" i="7"/>
  <c r="J2" i="7" s="1"/>
  <c r="B11" i="10" s="1"/>
  <c r="B5" i="10"/>
  <c r="J3" i="7"/>
  <c r="L3" i="2" s="1"/>
  <c r="J5" i="7"/>
  <c r="L5" i="2" s="1"/>
  <c r="J8" i="7"/>
  <c r="L8" i="2" s="1"/>
  <c r="J4" i="7"/>
  <c r="L4" i="2" s="1"/>
  <c r="J6" i="7"/>
  <c r="L6" i="2" s="1"/>
  <c r="J10" i="7"/>
  <c r="L10" i="2" s="1"/>
  <c r="J11" i="7"/>
  <c r="L11" i="2" s="1"/>
  <c r="J9" i="7"/>
  <c r="L9" i="2" s="1"/>
  <c r="B10" i="10" l="1"/>
  <c r="B9" i="10"/>
  <c r="B6" i="10"/>
  <c r="B8" i="10"/>
  <c r="L2" i="2"/>
</calcChain>
</file>

<file path=xl/sharedStrings.xml><?xml version="1.0" encoding="utf-8"?>
<sst xmlns="http://schemas.openxmlformats.org/spreadsheetml/2006/main" count="604" uniqueCount="182">
  <si>
    <t>cliente_id</t>
  </si>
  <si>
    <t>nombre</t>
  </si>
  <si>
    <t>telefono</t>
  </si>
  <si>
    <t>fecha_registro</t>
  </si>
  <si>
    <t>estado_cliente</t>
  </si>
  <si>
    <t>observaciones</t>
  </si>
  <si>
    <t>Activo</t>
  </si>
  <si>
    <t>Juan Guillermo Londoño</t>
  </si>
  <si>
    <t>Amigo de mi mamá</t>
  </si>
  <si>
    <t>Doña Ludis</t>
  </si>
  <si>
    <t>Mayerly</t>
  </si>
  <si>
    <t>Amiga de mi mamá</t>
  </si>
  <si>
    <t>Monica</t>
  </si>
  <si>
    <t>Mateo</t>
  </si>
  <si>
    <t>Primo</t>
  </si>
  <si>
    <t>Nana</t>
  </si>
  <si>
    <t>Mamá de Sara</t>
  </si>
  <si>
    <t>Sepe</t>
  </si>
  <si>
    <t>Suegra de Vero</t>
  </si>
  <si>
    <t>Cuñado de Vero</t>
  </si>
  <si>
    <t>Vasco</t>
  </si>
  <si>
    <t>Vanessa Amiga Vero</t>
  </si>
  <si>
    <t>Amiga de Vero</t>
  </si>
  <si>
    <t>Yeni Hija</t>
  </si>
  <si>
    <t>Yuli</t>
  </si>
  <si>
    <t>Carolina</t>
  </si>
  <si>
    <t>Amiga</t>
  </si>
  <si>
    <t>Evelyn Tia</t>
  </si>
  <si>
    <t>Valentina Uribe</t>
  </si>
  <si>
    <t>Hija de Ana</t>
  </si>
  <si>
    <t>Mujer de Mateo</t>
  </si>
  <si>
    <t>parentesco</t>
  </si>
  <si>
    <t>Amigo</t>
  </si>
  <si>
    <t>credito_id</t>
  </si>
  <si>
    <t>fecha_desembolso</t>
  </si>
  <si>
    <t>modalidad</t>
  </si>
  <si>
    <t>capital_inicial</t>
  </si>
  <si>
    <t>tasa_mensual</t>
  </si>
  <si>
    <t>plazo_meses</t>
  </si>
  <si>
    <t>dia_pago</t>
  </si>
  <si>
    <t>numero_cuotas</t>
  </si>
  <si>
    <t>valor_cuota</t>
  </si>
  <si>
    <t>saldo_capital</t>
  </si>
  <si>
    <t>estado_credito</t>
  </si>
  <si>
    <t>fecha_final_estimada</t>
  </si>
  <si>
    <t>CR001</t>
  </si>
  <si>
    <t>CR002</t>
  </si>
  <si>
    <t>CR003</t>
  </si>
  <si>
    <t>CR004</t>
  </si>
  <si>
    <t>CR005</t>
  </si>
  <si>
    <t>CR006</t>
  </si>
  <si>
    <t>CR007</t>
  </si>
  <si>
    <t>CR008</t>
  </si>
  <si>
    <t>CR009</t>
  </si>
  <si>
    <t>CR010</t>
  </si>
  <si>
    <t>CR011</t>
  </si>
  <si>
    <t>CR012</t>
  </si>
  <si>
    <t>CR013</t>
  </si>
  <si>
    <t>CR014</t>
  </si>
  <si>
    <t>CLI001</t>
  </si>
  <si>
    <t>CLI002</t>
  </si>
  <si>
    <t>CLI003</t>
  </si>
  <si>
    <t>CLI004</t>
  </si>
  <si>
    <t>CLI005</t>
  </si>
  <si>
    <t>CLI006</t>
  </si>
  <si>
    <t>CLI007</t>
  </si>
  <si>
    <t>CLI008</t>
  </si>
  <si>
    <t>CLI009</t>
  </si>
  <si>
    <t>CLI010</t>
  </si>
  <si>
    <t>CLI011</t>
  </si>
  <si>
    <t>CLI012</t>
  </si>
  <si>
    <t>CLI013</t>
  </si>
  <si>
    <t>CLI014</t>
  </si>
  <si>
    <t>INTERES_MENSUAL</t>
  </si>
  <si>
    <t>CUOTA_FIJA</t>
  </si>
  <si>
    <t>pago_id</t>
  </si>
  <si>
    <t>fecha_pago</t>
  </si>
  <si>
    <t>medio_pago</t>
  </si>
  <si>
    <t>valor_pago</t>
  </si>
  <si>
    <t>pago_interes</t>
  </si>
  <si>
    <t>pago_capital</t>
  </si>
  <si>
    <t>numero_cuota</t>
  </si>
  <si>
    <t>concepto</t>
  </si>
  <si>
    <t>PAG001</t>
  </si>
  <si>
    <t>Transferencia</t>
  </si>
  <si>
    <t>Intereses</t>
  </si>
  <si>
    <t>PAG002</t>
  </si>
  <si>
    <t>Intereses y capital</t>
  </si>
  <si>
    <t>PAG003</t>
  </si>
  <si>
    <t>PAG004</t>
  </si>
  <si>
    <t>PAG005</t>
  </si>
  <si>
    <t>PAG006</t>
  </si>
  <si>
    <t>PAG007</t>
  </si>
  <si>
    <t>PAG008</t>
  </si>
  <si>
    <t>PAG009</t>
  </si>
  <si>
    <t>PAG010</t>
  </si>
  <si>
    <t>PAG011</t>
  </si>
  <si>
    <t>PAG012</t>
  </si>
  <si>
    <t>Efectivo</t>
  </si>
  <si>
    <t>PAG013</t>
  </si>
  <si>
    <t>PAG014</t>
  </si>
  <si>
    <t>PAG015</t>
  </si>
  <si>
    <t>PAG016</t>
  </si>
  <si>
    <t>PAG017</t>
  </si>
  <si>
    <t>PAG018</t>
  </si>
  <si>
    <t>PAG019</t>
  </si>
  <si>
    <t>PAG020</t>
  </si>
  <si>
    <t>PAG021</t>
  </si>
  <si>
    <t>PAG022</t>
  </si>
  <si>
    <t>PAG023</t>
  </si>
  <si>
    <t>PAG024</t>
  </si>
  <si>
    <t>PAG025</t>
  </si>
  <si>
    <t>PAG026</t>
  </si>
  <si>
    <t>PAG027</t>
  </si>
  <si>
    <t>PAG028</t>
  </si>
  <si>
    <t>PAG029</t>
  </si>
  <si>
    <t>PAG030</t>
  </si>
  <si>
    <t>PAG031</t>
  </si>
  <si>
    <t>PAG032</t>
  </si>
  <si>
    <t>PAG033</t>
  </si>
  <si>
    <t>PAG034</t>
  </si>
  <si>
    <t>PAG035</t>
  </si>
  <si>
    <t>PAG036</t>
  </si>
  <si>
    <t>PAG037</t>
  </si>
  <si>
    <t>PAG038</t>
  </si>
  <si>
    <t>PAG039</t>
  </si>
  <si>
    <t>PAG040</t>
  </si>
  <si>
    <t>Capital</t>
  </si>
  <si>
    <t>PAG041</t>
  </si>
  <si>
    <t>PAG042</t>
  </si>
  <si>
    <t>PAG043</t>
  </si>
  <si>
    <t>PAG044</t>
  </si>
  <si>
    <t>PAG045</t>
  </si>
  <si>
    <t>PAG046</t>
  </si>
  <si>
    <t>PAG047</t>
  </si>
  <si>
    <t>PAG048</t>
  </si>
  <si>
    <t>PAG049</t>
  </si>
  <si>
    <t>PAG050</t>
  </si>
  <si>
    <t>PAG051</t>
  </si>
  <si>
    <t>PAG052</t>
  </si>
  <si>
    <t>PAG053</t>
  </si>
  <si>
    <t>PAG054</t>
  </si>
  <si>
    <t>PAG055</t>
  </si>
  <si>
    <t>PAG056</t>
  </si>
  <si>
    <t>PAG057</t>
  </si>
  <si>
    <t>PAG058</t>
  </si>
  <si>
    <t>PAG059</t>
  </si>
  <si>
    <t>PAG060</t>
  </si>
  <si>
    <t>PAG061</t>
  </si>
  <si>
    <t>PAG062</t>
  </si>
  <si>
    <t>PAG063</t>
  </si>
  <si>
    <t>PAG064</t>
  </si>
  <si>
    <t>PAG065</t>
  </si>
  <si>
    <t>PAG066</t>
  </si>
  <si>
    <t>PAG067</t>
  </si>
  <si>
    <t>PAG068</t>
  </si>
  <si>
    <t>interes_adicional</t>
  </si>
  <si>
    <t>valor_cuota_calculado</t>
  </si>
  <si>
    <t>tipo_interes</t>
  </si>
  <si>
    <t>capital_pagado</t>
  </si>
  <si>
    <t>capital_pendiente</t>
  </si>
  <si>
    <t>interes_pendiente</t>
  </si>
  <si>
    <t>deuda_total_pendiente</t>
  </si>
  <si>
    <t>estado</t>
  </si>
  <si>
    <t>deuda_vencida</t>
  </si>
  <si>
    <t>periodo</t>
  </si>
  <si>
    <t>fecha_vencimiento</t>
  </si>
  <si>
    <t>capital_periodo</t>
  </si>
  <si>
    <t>interes_periodo</t>
  </si>
  <si>
    <t>interes_pagado</t>
  </si>
  <si>
    <t>Indicador</t>
  </si>
  <si>
    <t>Capital total prestado</t>
  </si>
  <si>
    <t>Capital pagado</t>
  </si>
  <si>
    <t>Capital pendiente</t>
  </si>
  <si>
    <t>Intereses pendientes</t>
  </si>
  <si>
    <t>Deuda total pendiente</t>
  </si>
  <si>
    <t>Deuda vencida</t>
  </si>
  <si>
    <t>Créditos activos</t>
  </si>
  <si>
    <t>Créditos en mora</t>
  </si>
  <si>
    <t>Créditos al día</t>
  </si>
  <si>
    <t>Resultado</t>
  </si>
  <si>
    <t>Créditos finalizados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</si>
</sst>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XDR&quot;* #,##0.00_-;\-&quot;XDR&quot;* #,##0.00_-;_-&quot;XDR&quot;* &quot;-&quot;??_-;_-@_-"/>
    <numFmt numFmtId="164" formatCode="[$$-240A]\ #,##0.00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9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vertical="center" wrapText="1"/>
    </xf>
    <xf numFmtId="14" fontId="1" fillId="0" borderId="0" xfId="0" applyNumberFormat="1" applyFont="1" applyAlignment="1">
      <alignment horizontal="center"/>
    </xf>
    <xf numFmtId="9" fontId="0" fillId="0" borderId="0" xfId="0" applyNumberFormat="1"/>
    <xf numFmtId="14" fontId="0" fillId="0" borderId="1" xfId="0" applyNumberFormat="1" applyFont="1" applyBorder="1"/>
    <xf numFmtId="164" fontId="0" fillId="0" borderId="0" xfId="1" applyNumberFormat="1" applyFont="1"/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/>
    </xf>
    <xf numFmtId="1" fontId="0" fillId="0" borderId="1" xfId="0" applyNumberFormat="1" applyFont="1" applyBorder="1"/>
    <xf numFmtId="14" fontId="0" fillId="0" borderId="0" xfId="0" applyNumberFormat="1" applyAlignment="1">
      <alignment horizontal="left" indent="8"/>
    </xf>
    <xf numFmtId="14" fontId="0" fillId="0" borderId="0" xfId="0" applyNumberFormat="1" applyAlignment="1">
      <alignment horizontal="right"/>
    </xf>
    <xf numFmtId="0" fontId="4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right" vertical="center" wrapText="1"/>
    </xf>
  </cellXfs>
  <cellStyles count="2">
    <cellStyle name="Moneda" xfId="1" builtinId="4"/>
    <cellStyle name="Normal" xfId="0" builtinId="0"/>
  </cellStyles>
  <dxfs count="45">
    <dxf>
      <numFmt numFmtId="164" formatCode="[$$-240A]\ #,##0.00"/>
    </dxf>
    <dxf>
      <alignment horizontal="general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0" indent="0" justifyLastLine="0" shrinkToFit="0" readingOrder="0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19" formatCode="d/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/m/yyyy"/>
    </dxf>
    <dxf>
      <numFmt numFmtId="30" formatCode="@"/>
    </dxf>
    <dxf>
      <numFmt numFmtId="1" formatCode="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" formatCode="0"/>
    </dxf>
    <dxf>
      <numFmt numFmtId="30" formatCode="@"/>
    </dxf>
    <dxf>
      <numFmt numFmtId="19" formatCode="d/m/yyyy"/>
    </dxf>
    <dxf>
      <numFmt numFmtId="30" formatCode="@"/>
    </dxf>
    <dxf>
      <numFmt numFmtId="30" formatCode="@"/>
    </dxf>
    <dxf>
      <numFmt numFmtId="30" formatCode="@"/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/yyyy"/>
    </dxf>
    <dxf>
      <numFmt numFmtId="30" formatCode="@"/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6DF16B-4EAB-4D1F-9A83-BD6327C82000}" name="tbl_clientes" displayName="tbl_clientes" ref="A1:F15" totalsRowShown="0" headerRowDxfId="44" dataDxfId="43">
  <autoFilter ref="A1:F15" xr:uid="{3F6DF16B-4EAB-4D1F-9A83-BD6327C82000}"/>
  <tableColumns count="6">
    <tableColumn id="1" xr3:uid="{08BC1124-24D6-49AF-BE6A-E713A907F04D}" name="cliente_id" dataDxfId="42"/>
    <tableColumn id="2" xr3:uid="{FBC43EF5-FD74-41D7-B866-44070C09EABB}" name="nombre" dataDxfId="41"/>
    <tableColumn id="3" xr3:uid="{43C95C9C-CB1F-42AC-B90D-26B8A7123B80}" name="telefono" dataDxfId="40"/>
    <tableColumn id="4" xr3:uid="{CFD35BE1-B821-482C-B47B-8D1E4D0176AD}" name="fecha_registro" dataDxfId="39"/>
    <tableColumn id="5" xr3:uid="{FEDCD006-B906-464E-BD1F-68514D02F644}" name="estado_cliente" dataDxfId="38"/>
    <tableColumn id="6" xr3:uid="{FE425CDA-BDB9-4CFA-8316-CDA1F7E0F54F}" name="parentesco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D2ABCD-E005-438F-8637-F3167AD55CE3}" name="tbl_creditos" displayName="tbl_creditos" ref="A1:N15" totalsRowShown="0">
  <autoFilter ref="A1:N15" xr:uid="{995C2155-502D-475C-A992-330B02E44867}"/>
  <tableColumns count="14">
    <tableColumn id="1" xr3:uid="{486472ED-2F20-43D0-B378-42F8A798F4F8}" name="credito_id" dataDxfId="36"/>
    <tableColumn id="2" xr3:uid="{FC367222-DC80-4A78-B912-A9B5960A0831}" name="cliente_id" dataDxfId="35"/>
    <tableColumn id="3" xr3:uid="{76737FD9-89B7-4BE8-AB5C-54714937EA5B}" name="fecha_desembolso" dataDxfId="34"/>
    <tableColumn id="4" xr3:uid="{E8B38FD8-C010-4477-9434-C4368DA2CAC6}" name="modalidad" dataDxfId="33"/>
    <tableColumn id="5" xr3:uid="{A91262B4-8A7C-48D7-855E-C6ECD2C55680}" name="capital_inicial" dataDxfId="32"/>
    <tableColumn id="6" xr3:uid="{1EE9CE9C-E2DE-4320-B80A-C4969B504A49}" name="tasa_mensual" dataDxfId="31"/>
    <tableColumn id="7" xr3:uid="{67DE8558-7C99-4999-ABEC-033E90165194}" name="plazo_meses" dataDxfId="30"/>
    <tableColumn id="8" xr3:uid="{8196FE5B-EBA5-4C0B-A07A-3BC6A08485F7}" name="dia_pago" dataDxfId="29"/>
    <tableColumn id="9" xr3:uid="{72B06E75-0214-449C-9F85-0EB42FD1698E}" name="numero_cuotas" dataDxfId="28"/>
    <tableColumn id="10" xr3:uid="{2EA5C4F0-E68F-4B69-8CF2-DF969BCA3F63}" name="valor_cuota" dataDxfId="27"/>
    <tableColumn id="11" xr3:uid="{AE3C51FF-ABD1-4CE3-89D0-4D9FCBB0C665}" name="saldo_capital" dataDxfId="26">
      <calculatedColumnFormula>E2-SUMIF(Pagos!B:B, A2, Pagos!H:H)</calculatedColumnFormula>
    </tableColumn>
    <tableColumn id="12" xr3:uid="{3DE2F6F8-5687-4CA1-9051-269B07BB100F}" name="estado_credito" dataDxfId="25">
      <calculatedColumnFormula>VLOOKUP(A2, Estado_Cartera!A:J, 10, FALSE)</calculatedColumnFormula>
    </tableColumn>
    <tableColumn id="13" xr3:uid="{EF493551-5A81-489D-AFFA-05DA72B2CD42}" name="fecha_final_estimada" dataDxfId="24"/>
    <tableColumn id="14" xr3:uid="{9DD85B3A-0769-4645-94DF-C0BECFFF0B8D}" name="observaciones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0A2951-27E9-44AE-924F-E2C06671B729}" name="tbl_pagos" displayName="tbl_pagos" ref="A1:M69" totalsRowShown="0">
  <autoFilter ref="A1:M69" xr:uid="{C60A2951-27E9-44AE-924F-E2C06671B729}"/>
  <tableColumns count="13">
    <tableColumn id="1" xr3:uid="{F2EC9356-A569-4BDE-B117-08C021DAC207}" name="pago_id" dataDxfId="22"/>
    <tableColumn id="2" xr3:uid="{7CB3E935-E942-4CFA-917B-E8E697353DC3}" name="credito_id" dataDxfId="21"/>
    <tableColumn id="3" xr3:uid="{34EC3D67-5F5A-46D3-A888-85F1D4D2246A}" name="cliente_id" dataDxfId="20"/>
    <tableColumn id="4" xr3:uid="{F63F5560-4E8D-4CA6-B6F3-095A8AAEB6D3}" name="fecha_pago" dataDxfId="19"/>
    <tableColumn id="5" xr3:uid="{F12AF42F-2121-416A-BCCF-CD0E2D5C9E9E}" name="medio_pago" dataDxfId="18"/>
    <tableColumn id="6" xr3:uid="{53857C59-7788-4846-A714-E00DFD2A2859}" name="valor_pago" dataDxfId="17"/>
    <tableColumn id="7" xr3:uid="{6B675A7D-4EB5-4C4E-A853-2BBF77DE7FD3}" name="pago_interes" dataDxfId="16"/>
    <tableColumn id="8" xr3:uid="{C84579C7-4AA4-4017-821B-F1E5AD47A810}" name="pago_capital" dataDxfId="15"/>
    <tableColumn id="9" xr3:uid="{533E15E6-4078-4528-AE24-C24ED2E07A89}" name="numero_cuota" dataDxfId="14"/>
    <tableColumn id="10" xr3:uid="{1582A1C7-3E4E-4079-A3A3-E0B4DEFA0E50}" name="concepto" dataDxfId="13"/>
    <tableColumn id="11" xr3:uid="{FB672AAB-6D15-43D9-9F15-BFEE4266B267}" name="observaciones" dataDxfId="12"/>
    <tableColumn id="12" xr3:uid="{70CAEA97-CFBE-40AA-A1C0-8663137C9F58}" name="interes_adicional" dataDxfId="11">
      <calculatedColumnFormula>IF(M2=0,0,MAX(0,F2-M2))</calculatedColumnFormula>
    </tableColumn>
    <tableColumn id="13" xr3:uid="{71D2E48C-7A99-41BA-84D3-09C97DA69C8D}" name="valor_cuota_calculado" dataDxfId="10">
      <calculatedColumnFormula>_xlfn.XLOOKUP(B2,Creditos!A:A,Creditos!J:J,0)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36AB50-6528-4731-BCF4-B52DC9A8BB18}" name="tblEstadoCartera" displayName="tblEstadoCartera" ref="A1:J15" totalsRowShown="0">
  <autoFilter ref="A1:J15" xr:uid="{8E36AB50-6528-4731-BCF4-B52DC9A8BB18}"/>
  <tableColumns count="10">
    <tableColumn id="1" xr3:uid="{CEB73A9F-3E93-48F1-B93F-7D472073AD5A}" name="credito_id"/>
    <tableColumn id="2" xr3:uid="{C6310E9A-98F4-423A-9245-3A10CE0B8C99}" name="cliente_id"/>
    <tableColumn id="3" xr3:uid="{3CF9B106-B20B-4BC5-AEA7-58633F4985C7}" name="tipo_interes"/>
    <tableColumn id="4" xr3:uid="{994DB30C-7E68-451A-958C-388DBE88437C}" name="capital_inicial"/>
    <tableColumn id="5" xr3:uid="{DA536171-6E7A-4E2F-867D-6A253B3FD734}" name="capital_pagado" dataDxfId="9">
      <calculatedColumnFormula>SUMIF(Pagos!B:B, A2, Pagos!H:H)</calculatedColumnFormula>
    </tableColumn>
    <tableColumn id="6" xr3:uid="{DC0DEFA9-C91E-427A-8EDA-CE786E0B5A6E}" name="capital_pendiente" dataDxfId="8">
      <calculatedColumnFormula>D2-E2</calculatedColumnFormula>
    </tableColumn>
    <tableColumn id="7" xr3:uid="{EFCA9E13-D014-4DC4-8539-255D87DBB983}" name="interes_pendiente">
      <calculatedColumnFormula>IF(C2="INTERES_MENSUAL",SUMIFS(Calendario_Intereses!$G:$G,Calendario_Intereses!$A:$A,A2),IF(C2="CUOTA_FIJA",IFERROR(MAX(0,(VLOOKUP(A2,Creditos!$A:$N,9,FALSE)-COUNTIFS(Pagos!$B:$B,A2,Pagos!$I:$I,"&gt;0"))*AVERAGEIFS(Pagos!$G:$G,Pagos!$B:$B,A2)),0),0))</calculatedColumnFormula>
    </tableColumn>
    <tableColumn id="8" xr3:uid="{2B56AB54-BDFE-4A8A-A842-664C5C6F0C35}" name="deuda_total_pendiente" dataDxfId="7">
      <calculatedColumnFormula>F2+G2</calculatedColumnFormula>
    </tableColumn>
    <tableColumn id="9" xr3:uid="{588F16E6-F200-4C4C-9998-B7B41E2F620B}" name="deuda_vencida" dataDxfId="6">
      <calculatedColumnFormula>IF(C2="INTERES_MENSUAL",SUMIFS(Calendario_Intereses!$G:$G,Calendario_Intereses!$A:$A,A2,Calendario_Intereses!$C:$C,"&lt;"&amp;TODAY()),IF(C2="CUOTA_FIJA",IFERROR(IF(MAX(0,MIN(VLOOKUP(A2,Creditos!$A:$N,7,FALSE),12*(YEAR(TODAY())-YEAR(VLOOKUP(A2,Creditos!$A:$N,3,FALSE)))+MONTH(TODAY())-MONTH(VLOOKUP(A2,Creditos!$A:$N,3,FALSE))-IF(DAY(TODAY())&lt;VLOOKUP(A2,Creditos!$A:$N,8,FALSE),1,0)))-COUNTIFS(Pagos!$B:$B,A2,Pagos!$I:$I,"&gt;0")&lt;=0,0,IF(MAX(0,MIN(VLOOKUP(A2,Creditos!$A:$N,7,FALSE),12*(YEAR(TODAY())-YEAR(VLOOKUP(A2,Creditos!$A:$N,3,FALSE)))+MONTH(TODAY())-MONTH(VLOOKUP(A2,Creditos!$A:$N,3,FALSE))-IF(DAY(TODAY())&lt;VLOOKUP(A2,Creditos!$A:$N,8,FALSE),1,0)))&gt;=VLOOKUP(A2,Creditos!$A:$N,7,FALSE),H2,(MAX(0,MIN(VLOOKUP(A2,Creditos!$A:$N,7,FALSE),12*(YEAR(TODAY())-YEAR(VLOOKUP(A2,Creditos!$A:$N,3,FALSE)))+MONTH(TODAY())-MONTH(VLOOKUP(A2,Creditos!$A:$N,3,FALSE))-IF(DAY(TODAY())&lt;VLOOKUP(A2,Creditos!$A:$N,8,FALSE),1,0)))-COUNTIFS(Pagos!$B:$B,A2,Pagos!$I:$I,"&gt;0"))*VLOOKUP(A2,Creditos!$A:$N,10,FALSE))),0),0))</calculatedColumnFormula>
    </tableColumn>
    <tableColumn id="10" xr3:uid="{B7F34C3D-B72F-4F99-84D0-A2EA4C21CEF0}" name="estado" dataDxfId="5">
      <calculatedColumnFormula>IF(H2=0, "Finalizado", IF(I2&gt;0, "En mora", "Al día"))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F2B6345-9264-4D76-8A9E-41D1DB77E83E}" name="Tabla5" displayName="Tabla5" ref="A1:G63" totalsRowShown="0">
  <autoFilter ref="A1:G63" xr:uid="{BF2B6345-9264-4D76-8A9E-41D1DB77E83E}"/>
  <tableColumns count="7">
    <tableColumn id="1" xr3:uid="{C13CAA4F-2DAA-47CB-8D9C-4CC5F7B6D365}" name="credito_id"/>
    <tableColumn id="2" xr3:uid="{BFED6CFF-1AE6-45AF-A339-9F19A9A30259}" name="periodo"/>
    <tableColumn id="3" xr3:uid="{FCCDE0EF-FB69-413A-8603-EEF51207627F}" name="fecha_vencimiento" dataDxfId="4">
      <calculatedColumnFormula>EDATE(VLOOKUP(A2,Creditos!$A:$N,3,FALSE),B2)</calculatedColumnFormula>
    </tableColumn>
    <tableColumn id="4" xr3:uid="{834160F2-BC78-43FB-A66F-4650BA9D89F9}" name="capital_periodo">
      <calculatedColumnFormula>VLOOKUP(A2,Creditos!$A:$N,5,FALSE)-SUMIFS(Pagos!$H:$H,Pagos!$B:$B,A2,Pagos!$D:$D,"&lt;"&amp;DATE(YEAR(C2),MONTH(C2),1))</calculatedColumnFormula>
    </tableColumn>
    <tableColumn id="5" xr3:uid="{3BE981BD-27FB-43E5-947B-2C3585445E07}" name="interes_periodo" dataDxfId="3">
      <calculatedColumnFormula>D2*VLOOKUP(A2,Creditos!$A:$N,6,FALSE)</calculatedColumnFormula>
    </tableColumn>
    <tableColumn id="6" xr3:uid="{DF6DC4AC-B27A-42CF-8593-8F6D81E5C804}" name="interes_pagado">
      <calculatedColumnFormula>MIN(E2,MAX(0,SUMIFS(Pagos!$G:$G,Pagos!$B:$B,A2,Pagos!$D:$D,"&lt;="&amp;TODAY())-SUMIFS($E:$E,$A:$A,A2,$B:$B,"&lt;"&amp;B2)))</calculatedColumnFormula>
    </tableColumn>
    <tableColumn id="7" xr3:uid="{D6151C87-F47A-4E42-8C31-3715018F9404}" name="interes_pendiente" dataDxfId="2">
      <calculatedColumnFormula>MAX(0,E2-F2)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0E844E-E30A-43BE-AC2C-9A41E34701F0}" name="Tabla6" displayName="Tabla6" ref="A1:B11" totalsRowShown="0">
  <autoFilter ref="A1:B11" xr:uid="{C40E844E-E30A-43BE-AC2C-9A41E34701F0}"/>
  <tableColumns count="2">
    <tableColumn id="1" xr3:uid="{DE1581E1-78C4-40E3-BD10-E424BCD5AB32}" name="Indicador" dataDxfId="1"/>
    <tableColumn id="2" xr3:uid="{E15F132B-EC33-4674-8122-F9581247A9DD}" name="Resul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0516-D070-4B6C-932A-1D958EA00D0A}">
  <dimension ref="A1:F26"/>
  <sheetViews>
    <sheetView workbookViewId="0">
      <selection sqref="A1:F15"/>
    </sheetView>
  </sheetViews>
  <sheetFormatPr baseColWidth="10" defaultRowHeight="15"/>
  <cols>
    <col min="1" max="1" width="12" style="10" customWidth="1"/>
    <col min="2" max="2" width="33.140625" style="10" customWidth="1"/>
    <col min="3" max="3" width="11.42578125" style="10"/>
    <col min="4" max="4" width="16.42578125" style="1" customWidth="1"/>
    <col min="5" max="5" width="16.42578125" style="10" customWidth="1"/>
    <col min="6" max="6" width="25" style="10" customWidth="1"/>
  </cols>
  <sheetData>
    <row r="1" spans="1:6">
      <c r="A1" s="12" t="s">
        <v>0</v>
      </c>
      <c r="B1" s="12" t="s">
        <v>1</v>
      </c>
      <c r="C1" s="12" t="s">
        <v>2</v>
      </c>
      <c r="D1" s="3" t="s">
        <v>3</v>
      </c>
      <c r="E1" s="12" t="s">
        <v>4</v>
      </c>
      <c r="F1" s="12" t="s">
        <v>31</v>
      </c>
    </row>
    <row r="2" spans="1:6">
      <c r="A2" s="11" t="s">
        <v>59</v>
      </c>
      <c r="B2" s="11" t="s">
        <v>7</v>
      </c>
      <c r="C2" s="11">
        <v>3006674918</v>
      </c>
      <c r="D2" s="2">
        <v>46136</v>
      </c>
      <c r="E2" s="11" t="s">
        <v>6</v>
      </c>
      <c r="F2" s="11" t="s">
        <v>8</v>
      </c>
    </row>
    <row r="3" spans="1:6">
      <c r="A3" s="11" t="s">
        <v>60</v>
      </c>
      <c r="B3" s="11" t="s">
        <v>9</v>
      </c>
      <c r="C3" s="11">
        <v>3116215016</v>
      </c>
      <c r="D3" s="2">
        <v>46000</v>
      </c>
      <c r="E3" s="11" t="s">
        <v>6</v>
      </c>
      <c r="F3" s="11" t="s">
        <v>18</v>
      </c>
    </row>
    <row r="4" spans="1:6">
      <c r="A4" s="11" t="s">
        <v>61</v>
      </c>
      <c r="B4" s="11" t="s">
        <v>10</v>
      </c>
      <c r="C4" s="11">
        <v>3148136915</v>
      </c>
      <c r="D4" s="2">
        <v>45968</v>
      </c>
      <c r="E4" s="11" t="s">
        <v>6</v>
      </c>
      <c r="F4" s="11" t="s">
        <v>11</v>
      </c>
    </row>
    <row r="5" spans="1:6">
      <c r="A5" s="11" t="s">
        <v>62</v>
      </c>
      <c r="B5" s="11" t="s">
        <v>12</v>
      </c>
      <c r="C5" s="11">
        <v>3217222883</v>
      </c>
      <c r="D5" s="15">
        <v>46081</v>
      </c>
      <c r="E5" s="11" t="s">
        <v>6</v>
      </c>
      <c r="F5" s="11" t="s">
        <v>11</v>
      </c>
    </row>
    <row r="6" spans="1:6">
      <c r="A6" s="11" t="s">
        <v>63</v>
      </c>
      <c r="B6" s="11" t="s">
        <v>13</v>
      </c>
      <c r="C6" s="10">
        <v>3116772510</v>
      </c>
      <c r="D6" s="1">
        <v>46203</v>
      </c>
      <c r="E6" s="11" t="s">
        <v>6</v>
      </c>
      <c r="F6" s="11" t="s">
        <v>14</v>
      </c>
    </row>
    <row r="7" spans="1:6">
      <c r="A7" s="11" t="s">
        <v>64</v>
      </c>
      <c r="B7" s="11" t="s">
        <v>15</v>
      </c>
      <c r="C7" s="11">
        <v>3127811405</v>
      </c>
      <c r="D7" s="1">
        <v>45768</v>
      </c>
      <c r="E7" s="11" t="s">
        <v>6</v>
      </c>
      <c r="F7" s="11" t="s">
        <v>16</v>
      </c>
    </row>
    <row r="8" spans="1:6">
      <c r="A8" s="11" t="s">
        <v>65</v>
      </c>
      <c r="B8" s="11" t="s">
        <v>17</v>
      </c>
      <c r="C8" s="11">
        <v>3015142931</v>
      </c>
      <c r="D8" s="1">
        <v>46151</v>
      </c>
      <c r="E8" s="11" t="s">
        <v>6</v>
      </c>
      <c r="F8" s="11" t="s">
        <v>19</v>
      </c>
    </row>
    <row r="9" spans="1:6">
      <c r="A9" s="11" t="s">
        <v>66</v>
      </c>
      <c r="B9" s="11" t="s">
        <v>20</v>
      </c>
      <c r="C9" s="11">
        <v>3508945986</v>
      </c>
      <c r="D9" s="1">
        <v>46017</v>
      </c>
      <c r="E9" s="11" t="s">
        <v>6</v>
      </c>
      <c r="F9" s="11" t="s">
        <v>32</v>
      </c>
    </row>
    <row r="10" spans="1:6">
      <c r="A10" s="11" t="s">
        <v>67</v>
      </c>
      <c r="B10" s="11" t="s">
        <v>21</v>
      </c>
      <c r="C10" s="11">
        <v>3023397138</v>
      </c>
      <c r="D10" s="1">
        <v>46106</v>
      </c>
      <c r="E10" s="11" t="s">
        <v>6</v>
      </c>
      <c r="F10" s="11" t="s">
        <v>22</v>
      </c>
    </row>
    <row r="11" spans="1:6">
      <c r="A11" s="11" t="s">
        <v>68</v>
      </c>
      <c r="B11" s="11" t="s">
        <v>23</v>
      </c>
      <c r="C11" s="11">
        <v>3104751148</v>
      </c>
      <c r="D11" s="1">
        <v>45772</v>
      </c>
      <c r="E11" s="11" t="s">
        <v>6</v>
      </c>
      <c r="F11" s="11" t="s">
        <v>11</v>
      </c>
    </row>
    <row r="12" spans="1:6">
      <c r="A12" s="11" t="s">
        <v>69</v>
      </c>
      <c r="B12" s="11" t="s">
        <v>24</v>
      </c>
      <c r="C12" s="11">
        <v>3006252916</v>
      </c>
      <c r="D12" s="1">
        <v>45174</v>
      </c>
      <c r="E12" s="11" t="s">
        <v>6</v>
      </c>
      <c r="F12" s="11" t="s">
        <v>22</v>
      </c>
    </row>
    <row r="13" spans="1:6">
      <c r="A13" s="11" t="s">
        <v>70</v>
      </c>
      <c r="B13" s="11" t="s">
        <v>25</v>
      </c>
      <c r="C13" s="11">
        <v>3122311905</v>
      </c>
      <c r="D13" s="1">
        <v>46235</v>
      </c>
      <c r="E13" s="11" t="s">
        <v>6</v>
      </c>
      <c r="F13" s="11" t="s">
        <v>26</v>
      </c>
    </row>
    <row r="14" spans="1:6">
      <c r="A14" s="11" t="s">
        <v>71</v>
      </c>
      <c r="B14" s="11" t="s">
        <v>27</v>
      </c>
      <c r="C14" s="11">
        <v>3021184101</v>
      </c>
      <c r="D14" s="1">
        <v>46266</v>
      </c>
      <c r="E14" s="11" t="s">
        <v>6</v>
      </c>
      <c r="F14" s="11" t="s">
        <v>30</v>
      </c>
    </row>
    <row r="15" spans="1:6">
      <c r="A15" s="11" t="s">
        <v>72</v>
      </c>
      <c r="B15" s="11" t="s">
        <v>28</v>
      </c>
      <c r="C15" s="11">
        <v>3022257979</v>
      </c>
      <c r="D15" s="1">
        <v>46267</v>
      </c>
      <c r="E15" s="11" t="s">
        <v>6</v>
      </c>
      <c r="F15" s="11" t="s">
        <v>29</v>
      </c>
    </row>
    <row r="16" spans="1:6">
      <c r="A16" s="11"/>
    </row>
    <row r="17" spans="1:1">
      <c r="A17" s="11"/>
    </row>
    <row r="18" spans="1:1">
      <c r="A18" s="11"/>
    </row>
    <row r="19" spans="1:1">
      <c r="A19" s="11"/>
    </row>
    <row r="20" spans="1:1">
      <c r="A20" s="11"/>
    </row>
    <row r="21" spans="1:1">
      <c r="A21" s="11"/>
    </row>
    <row r="22" spans="1:1">
      <c r="A22" s="11"/>
    </row>
    <row r="23" spans="1:1">
      <c r="A23" s="11"/>
    </row>
    <row r="24" spans="1:1">
      <c r="A24" s="11"/>
    </row>
    <row r="25" spans="1:1">
      <c r="A25" s="11"/>
    </row>
    <row r="26" spans="1:1">
      <c r="A26" s="11"/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2155-502D-475C-A992-330B02E44867}">
  <dimension ref="A1:N15"/>
  <sheetViews>
    <sheetView showGridLines="0" workbookViewId="0">
      <selection sqref="A1:N15"/>
    </sheetView>
  </sheetViews>
  <sheetFormatPr baseColWidth="10" defaultRowHeight="15"/>
  <cols>
    <col min="1" max="1" width="12.140625" style="10" customWidth="1"/>
    <col min="2" max="2" width="12" style="10" customWidth="1"/>
    <col min="3" max="3" width="20.140625" style="1" customWidth="1"/>
    <col min="4" max="4" width="17.42578125" style="10" bestFit="1" customWidth="1"/>
    <col min="5" max="5" width="15.42578125" style="9" customWidth="1"/>
    <col min="6" max="6" width="15.42578125" style="4" customWidth="1"/>
    <col min="7" max="7" width="14.7109375" style="8" customWidth="1"/>
    <col min="8" max="8" width="11.42578125" style="9"/>
    <col min="9" max="9" width="17" style="8" customWidth="1"/>
    <col min="10" max="10" width="13.42578125" style="8" customWidth="1"/>
    <col min="11" max="11" width="14.85546875" style="9" customWidth="1"/>
    <col min="12" max="12" width="16.5703125" style="10" customWidth="1"/>
    <col min="13" max="13" width="22.140625" style="1" customWidth="1"/>
    <col min="14" max="14" width="16.28515625" style="10" customWidth="1"/>
  </cols>
  <sheetData>
    <row r="1" spans="1:14">
      <c r="A1" s="10" t="s">
        <v>33</v>
      </c>
      <c r="B1" s="10" t="s">
        <v>0</v>
      </c>
      <c r="C1" s="1" t="s">
        <v>34</v>
      </c>
      <c r="D1" s="10" t="s">
        <v>35</v>
      </c>
      <c r="E1" s="9" t="s">
        <v>36</v>
      </c>
      <c r="F1" s="4" t="s">
        <v>37</v>
      </c>
      <c r="G1" s="8" t="s">
        <v>38</v>
      </c>
      <c r="H1" s="9" t="s">
        <v>39</v>
      </c>
      <c r="I1" s="8" t="s">
        <v>40</v>
      </c>
      <c r="J1" s="8" t="s">
        <v>41</v>
      </c>
      <c r="K1" s="9" t="s">
        <v>42</v>
      </c>
      <c r="L1" s="10" t="s">
        <v>43</v>
      </c>
      <c r="M1" s="1" t="s">
        <v>44</v>
      </c>
      <c r="N1" s="10" t="s">
        <v>5</v>
      </c>
    </row>
    <row r="2" spans="1:14">
      <c r="A2" s="10" t="s">
        <v>45</v>
      </c>
      <c r="B2" s="10" t="s">
        <v>59</v>
      </c>
      <c r="C2" s="1">
        <v>46136</v>
      </c>
      <c r="D2" s="10" t="s">
        <v>73</v>
      </c>
      <c r="E2" s="9">
        <v>3000000</v>
      </c>
      <c r="F2" s="4">
        <v>0.03</v>
      </c>
      <c r="G2" s="9"/>
      <c r="H2" s="9">
        <v>24</v>
      </c>
      <c r="I2" s="9"/>
      <c r="K2" s="9">
        <f>E2-SUMIF(Pagos!B:B, A2, Pagos!H:H)</f>
        <v>3000000</v>
      </c>
      <c r="L2" t="str">
        <f ca="1">VLOOKUP(A2, Estado_Cartera!A:J, 10, FALSE)</f>
        <v>En mora</v>
      </c>
    </row>
    <row r="3" spans="1:14">
      <c r="A3" s="10" t="s">
        <v>46</v>
      </c>
      <c r="B3" s="10" t="s">
        <v>60</v>
      </c>
      <c r="C3" s="1">
        <v>46000</v>
      </c>
      <c r="D3" s="10" t="s">
        <v>73</v>
      </c>
      <c r="E3" s="9">
        <v>2000000</v>
      </c>
      <c r="F3" s="4">
        <v>0.03</v>
      </c>
      <c r="G3" s="9"/>
      <c r="H3" s="9">
        <v>9</v>
      </c>
      <c r="I3" s="9"/>
      <c r="K3" s="9">
        <f>E3-SUMIF(Pagos!B:B, A3, Pagos!H:H)</f>
        <v>2000000</v>
      </c>
      <c r="L3" t="str">
        <f ca="1">VLOOKUP(A3, Estado_Cartera!A:J, 10, FALSE)</f>
        <v>Al día</v>
      </c>
    </row>
    <row r="4" spans="1:14">
      <c r="A4" s="10" t="s">
        <v>47</v>
      </c>
      <c r="B4" s="10" t="s">
        <v>61</v>
      </c>
      <c r="C4" s="14">
        <v>45968</v>
      </c>
      <c r="D4" s="10" t="s">
        <v>73</v>
      </c>
      <c r="E4" s="9">
        <v>400000</v>
      </c>
      <c r="F4" s="4">
        <v>0.03</v>
      </c>
      <c r="G4" s="9"/>
      <c r="H4" s="9">
        <v>7</v>
      </c>
      <c r="I4" s="9"/>
      <c r="K4" s="9">
        <f>E4-SUMIF(Pagos!B:B, A4, Pagos!H:H)</f>
        <v>400000</v>
      </c>
      <c r="L4" t="str">
        <f ca="1">VLOOKUP(A4, Estado_Cartera!A:J, 10, FALSE)</f>
        <v>En mora</v>
      </c>
    </row>
    <row r="5" spans="1:14">
      <c r="A5" s="10" t="s">
        <v>48</v>
      </c>
      <c r="B5" s="10" t="s">
        <v>62</v>
      </c>
      <c r="C5" s="15">
        <v>46081</v>
      </c>
      <c r="D5" s="10" t="s">
        <v>73</v>
      </c>
      <c r="E5" s="9">
        <v>4000000</v>
      </c>
      <c r="F5" s="4">
        <v>0.03</v>
      </c>
      <c r="G5" s="9"/>
      <c r="H5" s="9">
        <v>28</v>
      </c>
      <c r="I5" s="9"/>
      <c r="K5" s="9">
        <f>E5-SUMIF(Pagos!B:B, A5, Pagos!H:H)</f>
        <v>4000000</v>
      </c>
      <c r="L5" t="str">
        <f ca="1">VLOOKUP(A5, Estado_Cartera!A:J, 10, FALSE)</f>
        <v>En mora</v>
      </c>
    </row>
    <row r="6" spans="1:14">
      <c r="A6" s="10" t="s">
        <v>49</v>
      </c>
      <c r="B6" s="10" t="s">
        <v>63</v>
      </c>
      <c r="C6" s="1">
        <v>46203</v>
      </c>
      <c r="D6" s="10" t="s">
        <v>73</v>
      </c>
      <c r="E6" s="9">
        <v>3500000</v>
      </c>
      <c r="F6" s="4">
        <v>0.03</v>
      </c>
      <c r="G6" s="9"/>
      <c r="H6" s="9">
        <v>30</v>
      </c>
      <c r="I6" s="9"/>
      <c r="K6" s="9">
        <f>E6-SUMIF(Pagos!B:B, A6, Pagos!H:H)</f>
        <v>3500000</v>
      </c>
      <c r="L6" t="str">
        <f ca="1">VLOOKUP(A6, Estado_Cartera!A:J, 10, FALSE)</f>
        <v>En mora</v>
      </c>
    </row>
    <row r="7" spans="1:14">
      <c r="A7" s="10" t="s">
        <v>50</v>
      </c>
      <c r="B7" s="10" t="s">
        <v>64</v>
      </c>
      <c r="C7" s="1">
        <v>45768</v>
      </c>
      <c r="D7" s="10" t="s">
        <v>74</v>
      </c>
      <c r="E7" s="9">
        <v>1500000</v>
      </c>
      <c r="F7" s="4">
        <v>0.03</v>
      </c>
      <c r="G7" s="9">
        <v>18</v>
      </c>
      <c r="H7" s="9">
        <v>21</v>
      </c>
      <c r="I7" s="9">
        <v>18</v>
      </c>
      <c r="J7">
        <v>107083</v>
      </c>
      <c r="K7" s="9">
        <f>E7-SUMIF(Pagos!B:B, A7, Pagos!H:H)</f>
        <v>833336</v>
      </c>
      <c r="L7" t="str">
        <f ca="1">VLOOKUP(A7, Estado_Cartera!A:J, 10, FALSE)</f>
        <v>En mora</v>
      </c>
      <c r="M7" s="1">
        <v>46316</v>
      </c>
    </row>
    <row r="8" spans="1:14">
      <c r="A8" s="10" t="s">
        <v>51</v>
      </c>
      <c r="B8" s="10" t="s">
        <v>65</v>
      </c>
      <c r="C8" s="1">
        <v>46151</v>
      </c>
      <c r="D8" s="10" t="s">
        <v>73</v>
      </c>
      <c r="E8" s="9">
        <v>700000</v>
      </c>
      <c r="F8" s="4">
        <v>0.03</v>
      </c>
      <c r="G8" s="9"/>
      <c r="H8" s="9">
        <v>9</v>
      </c>
      <c r="I8" s="9"/>
      <c r="K8" s="9">
        <f>E8-SUMIF(Pagos!B:B, A8, Pagos!H:H)</f>
        <v>700000</v>
      </c>
      <c r="L8" t="str">
        <f ca="1">VLOOKUP(A8, Estado_Cartera!A:J, 10, FALSE)</f>
        <v>En mora</v>
      </c>
    </row>
    <row r="9" spans="1:14">
      <c r="A9" s="10" t="s">
        <v>52</v>
      </c>
      <c r="B9" s="10" t="s">
        <v>66</v>
      </c>
      <c r="C9" s="1">
        <v>46017</v>
      </c>
      <c r="D9" s="10" t="s">
        <v>73</v>
      </c>
      <c r="E9" s="9">
        <v>1500000</v>
      </c>
      <c r="F9" s="4">
        <v>0.03</v>
      </c>
      <c r="G9" s="9"/>
      <c r="H9" s="9">
        <v>26</v>
      </c>
      <c r="I9" s="9"/>
      <c r="K9" s="9">
        <f>E9-SUMIF(Pagos!B:B, A9, Pagos!H:H)</f>
        <v>300000</v>
      </c>
      <c r="L9" t="str">
        <f ca="1">VLOOKUP(A9, Estado_Cartera!A:J, 10, FALSE)</f>
        <v>En mora</v>
      </c>
    </row>
    <row r="10" spans="1:14">
      <c r="A10" s="10" t="s">
        <v>53</v>
      </c>
      <c r="B10" s="10" t="s">
        <v>67</v>
      </c>
      <c r="C10" s="1">
        <v>46106</v>
      </c>
      <c r="D10" s="10" t="s">
        <v>73</v>
      </c>
      <c r="E10" s="9">
        <v>500000</v>
      </c>
      <c r="F10" s="4">
        <v>0.03</v>
      </c>
      <c r="G10" s="9"/>
      <c r="H10" s="9">
        <v>25</v>
      </c>
      <c r="I10" s="9"/>
      <c r="K10" s="9">
        <f>E10-SUMIF(Pagos!B:B, A10, Pagos!H:H)</f>
        <v>200000</v>
      </c>
      <c r="L10" t="str">
        <f ca="1">VLOOKUP(A10, Estado_Cartera!A:J, 10, FALSE)</f>
        <v>En mora</v>
      </c>
    </row>
    <row r="11" spans="1:14">
      <c r="A11" s="10" t="s">
        <v>54</v>
      </c>
      <c r="B11" s="10" t="s">
        <v>68</v>
      </c>
      <c r="C11" s="5">
        <v>45772</v>
      </c>
      <c r="D11" s="10" t="s">
        <v>73</v>
      </c>
      <c r="E11" s="9">
        <v>2000000</v>
      </c>
      <c r="F11" s="4">
        <v>0.03</v>
      </c>
      <c r="G11" s="9"/>
      <c r="H11" s="9">
        <v>25</v>
      </c>
      <c r="I11" s="9"/>
      <c r="K11" s="9">
        <f>E11-SUMIF(Pagos!B:B, A11, Pagos!H:H)</f>
        <v>2000000</v>
      </c>
      <c r="L11" t="str">
        <f ca="1">VLOOKUP(A11, Estado_Cartera!A:J, 10, FALSE)</f>
        <v>Al día</v>
      </c>
    </row>
    <row r="12" spans="1:14">
      <c r="A12" s="10" t="s">
        <v>55</v>
      </c>
      <c r="B12" s="10" t="s">
        <v>69</v>
      </c>
      <c r="C12" s="1">
        <v>45174</v>
      </c>
      <c r="D12" s="10" t="s">
        <v>74</v>
      </c>
      <c r="E12" s="9">
        <v>1300000</v>
      </c>
      <c r="F12" s="4">
        <v>0.03</v>
      </c>
      <c r="G12" s="9">
        <v>12</v>
      </c>
      <c r="H12" s="9">
        <v>5</v>
      </c>
      <c r="I12" s="9">
        <v>12</v>
      </c>
      <c r="J12" s="9">
        <v>129458</v>
      </c>
      <c r="K12" s="9">
        <f>E12-SUMIF(Pagos!B:B, A12, Pagos!H:H)</f>
        <v>433336</v>
      </c>
      <c r="L12" t="str">
        <f ca="1">VLOOKUP(A12, Estado_Cartera!A:J, 10, FALSE)</f>
        <v>En mora</v>
      </c>
      <c r="M12" s="1">
        <v>45540</v>
      </c>
    </row>
    <row r="13" spans="1:14">
      <c r="A13" s="10" t="s">
        <v>56</v>
      </c>
      <c r="B13" s="10" t="s">
        <v>70</v>
      </c>
      <c r="C13" s="1">
        <v>46235</v>
      </c>
      <c r="D13" s="10" t="s">
        <v>73</v>
      </c>
      <c r="E13" s="9">
        <v>1500000</v>
      </c>
      <c r="F13" s="4">
        <v>0.03</v>
      </c>
      <c r="G13" s="9"/>
      <c r="H13" s="9">
        <v>1</v>
      </c>
      <c r="I13" s="9"/>
      <c r="K13" s="9">
        <f>E13-SUMIF(Pagos!B:B, A13, Pagos!H:H)</f>
        <v>1500000</v>
      </c>
      <c r="L13" t="str">
        <f ca="1">VLOOKUP(A13, Estado_Cartera!A:J, 10, FALSE)</f>
        <v>En mora</v>
      </c>
    </row>
    <row r="14" spans="1:14">
      <c r="A14" s="10" t="s">
        <v>57</v>
      </c>
      <c r="B14" s="10" t="s">
        <v>71</v>
      </c>
      <c r="C14" s="1">
        <v>46266</v>
      </c>
      <c r="D14" s="10" t="s">
        <v>74</v>
      </c>
      <c r="E14" s="9">
        <v>1000000</v>
      </c>
      <c r="F14" s="4">
        <v>0.03</v>
      </c>
      <c r="G14" s="9">
        <v>3</v>
      </c>
      <c r="H14" s="9">
        <v>1</v>
      </c>
      <c r="I14" s="9">
        <v>3</v>
      </c>
      <c r="J14">
        <v>353333</v>
      </c>
      <c r="K14" s="9">
        <f>E14-SUMIF(Pagos!B:B, A14, Pagos!H:H)</f>
        <v>1000000</v>
      </c>
      <c r="L14" t="str">
        <f ca="1">VLOOKUP(A14, Estado_Cartera!A:J, 10, FALSE)</f>
        <v>Al día</v>
      </c>
      <c r="M14" s="1">
        <v>46357</v>
      </c>
    </row>
    <row r="15" spans="1:14">
      <c r="A15" s="10" t="s">
        <v>58</v>
      </c>
      <c r="B15" s="10" t="s">
        <v>72</v>
      </c>
      <c r="C15" s="1">
        <v>46267</v>
      </c>
      <c r="D15" s="10" t="s">
        <v>74</v>
      </c>
      <c r="E15" s="9">
        <v>1000000</v>
      </c>
      <c r="F15" s="4">
        <v>0.03</v>
      </c>
      <c r="G15" s="9">
        <v>6</v>
      </c>
      <c r="H15" s="9">
        <v>2</v>
      </c>
      <c r="I15" s="9">
        <v>6</v>
      </c>
      <c r="J15">
        <v>184166</v>
      </c>
      <c r="K15" s="9">
        <f>E15-SUMIF(Pagos!B:B, A15, Pagos!H:H)</f>
        <v>1000000</v>
      </c>
      <c r="L15" t="str">
        <f ca="1">VLOOKUP(A15, Estado_Cartera!A:J, 10, FALSE)</f>
        <v>Al día</v>
      </c>
      <c r="M15" s="1">
        <v>46448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F13DD-7D97-4F1E-956A-C3A5DF4D3D3A}">
  <dimension ref="A1:U69"/>
  <sheetViews>
    <sheetView topLeftCell="A34" workbookViewId="0">
      <selection sqref="A1:M69"/>
    </sheetView>
  </sheetViews>
  <sheetFormatPr baseColWidth="10" defaultRowHeight="15"/>
  <cols>
    <col min="1" max="1" width="11.42578125" style="10"/>
    <col min="2" max="2" width="12.140625" style="10" customWidth="1"/>
    <col min="3" max="3" width="12" style="10" customWidth="1"/>
    <col min="4" max="4" width="13.28515625" style="1" customWidth="1"/>
    <col min="5" max="5" width="14" style="10" customWidth="1"/>
    <col min="6" max="6" width="12.7109375" style="9" customWidth="1"/>
    <col min="7" max="7" width="14.7109375" style="9" customWidth="1"/>
    <col min="8" max="8" width="14.28515625" style="9" customWidth="1"/>
    <col min="9" max="9" width="16" style="9" customWidth="1"/>
    <col min="10" max="10" width="17" style="10" bestFit="1" customWidth="1"/>
    <col min="11" max="11" width="16.28515625" style="10" customWidth="1"/>
    <col min="12" max="12" width="18.85546875" bestFit="1" customWidth="1"/>
    <col min="13" max="13" width="23.140625" bestFit="1" customWidth="1"/>
    <col min="15" max="15" width="16.85546875" bestFit="1" customWidth="1"/>
    <col min="16" max="16" width="14.140625" bestFit="1" customWidth="1"/>
    <col min="17" max="17" width="16.5703125" customWidth="1"/>
    <col min="18" max="18" width="16.85546875" bestFit="1" customWidth="1"/>
    <col min="21" max="21" width="13.7109375" customWidth="1"/>
  </cols>
  <sheetData>
    <row r="1" spans="1:15">
      <c r="A1" s="10" t="s">
        <v>75</v>
      </c>
      <c r="B1" s="10" t="s">
        <v>33</v>
      </c>
      <c r="C1" s="10" t="s">
        <v>0</v>
      </c>
      <c r="D1" s="1" t="s">
        <v>76</v>
      </c>
      <c r="E1" s="10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10" t="s">
        <v>82</v>
      </c>
      <c r="K1" s="10" t="s">
        <v>5</v>
      </c>
      <c r="L1" t="s">
        <v>156</v>
      </c>
      <c r="M1" t="s">
        <v>157</v>
      </c>
    </row>
    <row r="2" spans="1:15">
      <c r="A2" s="10" t="s">
        <v>83</v>
      </c>
      <c r="B2" s="10" t="s">
        <v>45</v>
      </c>
      <c r="C2" s="10" t="s">
        <v>59</v>
      </c>
      <c r="D2" s="1">
        <v>46167</v>
      </c>
      <c r="E2" s="10" t="s">
        <v>84</v>
      </c>
      <c r="F2" s="9">
        <v>90000</v>
      </c>
      <c r="G2" s="9">
        <v>90000</v>
      </c>
      <c r="H2" s="9">
        <v>0</v>
      </c>
      <c r="J2" s="10" t="s">
        <v>85</v>
      </c>
      <c r="L2" s="9">
        <f>IF(M2=0,0,MAX(0,F2-M2))</f>
        <v>0</v>
      </c>
      <c r="M2" s="9">
        <f>_xlfn.XLOOKUP(B2,Creditos!A:A,Creditos!J:J,0)</f>
        <v>0</v>
      </c>
    </row>
    <row r="3" spans="1:15">
      <c r="A3" s="10" t="s">
        <v>86</v>
      </c>
      <c r="B3" s="10" t="s">
        <v>50</v>
      </c>
      <c r="C3" s="10" t="s">
        <v>64</v>
      </c>
      <c r="D3" s="1">
        <v>45798</v>
      </c>
      <c r="E3" s="10" t="s">
        <v>84</v>
      </c>
      <c r="F3" s="9">
        <v>108000</v>
      </c>
      <c r="G3" s="9">
        <v>23750</v>
      </c>
      <c r="H3" s="9">
        <v>83333</v>
      </c>
      <c r="I3" s="9">
        <v>1</v>
      </c>
      <c r="J3" s="10" t="s">
        <v>87</v>
      </c>
      <c r="L3" s="9">
        <f t="shared" ref="L3:L66" si="0">IF(M3=0,0,MAX(0,F3-M3))</f>
        <v>917</v>
      </c>
      <c r="M3" s="9">
        <f>_xlfn.XLOOKUP(B3,Creditos!A:A,Creditos!J:J,0)</f>
        <v>107083</v>
      </c>
    </row>
    <row r="4" spans="1:15">
      <c r="A4" s="10" t="s">
        <v>88</v>
      </c>
      <c r="B4" s="10" t="s">
        <v>45</v>
      </c>
      <c r="C4" s="10" t="s">
        <v>59</v>
      </c>
      <c r="D4" s="1">
        <v>46199</v>
      </c>
      <c r="E4" s="10" t="s">
        <v>84</v>
      </c>
      <c r="F4" s="9">
        <v>90000</v>
      </c>
      <c r="G4" s="9">
        <v>90000</v>
      </c>
      <c r="H4" s="9">
        <v>0</v>
      </c>
      <c r="J4" s="10" t="s">
        <v>85</v>
      </c>
      <c r="L4" s="9">
        <f t="shared" si="0"/>
        <v>0</v>
      </c>
      <c r="M4" s="9">
        <f>_xlfn.XLOOKUP(B4,Creditos!A:A,Creditos!J:J,0)</f>
        <v>0</v>
      </c>
    </row>
    <row r="5" spans="1:15">
      <c r="A5" s="10" t="s">
        <v>89</v>
      </c>
      <c r="B5" s="10" t="s">
        <v>45</v>
      </c>
      <c r="C5" s="10" t="s">
        <v>59</v>
      </c>
      <c r="D5" s="1">
        <v>46230</v>
      </c>
      <c r="E5" s="10" t="s">
        <v>84</v>
      </c>
      <c r="F5" s="9">
        <v>90000</v>
      </c>
      <c r="G5" s="9">
        <v>90000</v>
      </c>
      <c r="H5" s="9">
        <v>0</v>
      </c>
      <c r="J5" s="10" t="s">
        <v>85</v>
      </c>
      <c r="L5" s="9">
        <f t="shared" si="0"/>
        <v>0</v>
      </c>
      <c r="M5" s="9">
        <f>_xlfn.XLOOKUP(B5,Creditos!A:A,Creditos!J:J,0)</f>
        <v>0</v>
      </c>
      <c r="O5">
        <v>1</v>
      </c>
    </row>
    <row r="6" spans="1:15">
      <c r="A6" s="10" t="s">
        <v>90</v>
      </c>
      <c r="B6" s="10" t="s">
        <v>46</v>
      </c>
      <c r="C6" s="11" t="s">
        <v>60</v>
      </c>
      <c r="D6" s="1">
        <v>46031</v>
      </c>
      <c r="E6" s="10" t="s">
        <v>98</v>
      </c>
      <c r="F6" s="9">
        <v>60000</v>
      </c>
      <c r="G6" s="9">
        <v>60000</v>
      </c>
      <c r="H6" s="9">
        <v>0</v>
      </c>
      <c r="J6" s="10" t="s">
        <v>85</v>
      </c>
      <c r="L6" s="9">
        <f t="shared" si="0"/>
        <v>0</v>
      </c>
      <c r="M6" s="9">
        <f>_xlfn.XLOOKUP(B6,Creditos!A:A,Creditos!J:J,0)</f>
        <v>0</v>
      </c>
    </row>
    <row r="7" spans="1:15">
      <c r="A7" s="10" t="s">
        <v>91</v>
      </c>
      <c r="B7" s="10" t="s">
        <v>46</v>
      </c>
      <c r="C7" s="11" t="s">
        <v>60</v>
      </c>
      <c r="D7" s="1">
        <v>46062</v>
      </c>
      <c r="E7" s="10" t="s">
        <v>98</v>
      </c>
      <c r="F7" s="9">
        <v>60000</v>
      </c>
      <c r="G7" s="9">
        <v>60000</v>
      </c>
      <c r="H7" s="9">
        <v>0</v>
      </c>
      <c r="J7" s="10" t="s">
        <v>85</v>
      </c>
      <c r="L7" s="9">
        <f t="shared" si="0"/>
        <v>0</v>
      </c>
      <c r="M7" s="9">
        <f>_xlfn.XLOOKUP(B7,Creditos!A:A,Creditos!J:J,0)</f>
        <v>0</v>
      </c>
    </row>
    <row r="8" spans="1:15">
      <c r="A8" s="10" t="s">
        <v>92</v>
      </c>
      <c r="B8" s="10" t="s">
        <v>46</v>
      </c>
      <c r="C8" s="11" t="s">
        <v>60</v>
      </c>
      <c r="D8" s="1">
        <v>46090</v>
      </c>
      <c r="E8" s="10" t="s">
        <v>98</v>
      </c>
      <c r="F8" s="9">
        <v>60000</v>
      </c>
      <c r="G8" s="9">
        <v>60000</v>
      </c>
      <c r="H8" s="9">
        <v>0</v>
      </c>
      <c r="J8" s="10" t="s">
        <v>85</v>
      </c>
      <c r="L8" s="9">
        <f t="shared" si="0"/>
        <v>0</v>
      </c>
      <c r="M8" s="9">
        <f>_xlfn.XLOOKUP(B8,Creditos!A:A,Creditos!J:J,0)</f>
        <v>0</v>
      </c>
    </row>
    <row r="9" spans="1:15">
      <c r="A9" s="10" t="s">
        <v>93</v>
      </c>
      <c r="B9" s="10" t="s">
        <v>46</v>
      </c>
      <c r="C9" s="11" t="s">
        <v>60</v>
      </c>
      <c r="D9" s="1">
        <v>46121</v>
      </c>
      <c r="E9" s="10" t="s">
        <v>98</v>
      </c>
      <c r="F9" s="9">
        <v>60000</v>
      </c>
      <c r="G9" s="9">
        <v>60000</v>
      </c>
      <c r="H9" s="9">
        <v>0</v>
      </c>
      <c r="J9" s="10" t="s">
        <v>85</v>
      </c>
      <c r="L9" s="9">
        <f t="shared" si="0"/>
        <v>0</v>
      </c>
      <c r="M9" s="9">
        <f>_xlfn.XLOOKUP(B9,Creditos!A:A,Creditos!J:J,0)</f>
        <v>0</v>
      </c>
    </row>
    <row r="10" spans="1:15">
      <c r="A10" s="10" t="s">
        <v>94</v>
      </c>
      <c r="B10" s="10" t="s">
        <v>46</v>
      </c>
      <c r="C10" s="11" t="s">
        <v>60</v>
      </c>
      <c r="D10" s="1">
        <v>46151</v>
      </c>
      <c r="E10" s="10" t="s">
        <v>98</v>
      </c>
      <c r="F10" s="9">
        <v>60000</v>
      </c>
      <c r="G10" s="9">
        <v>60000</v>
      </c>
      <c r="H10" s="9">
        <v>0</v>
      </c>
      <c r="J10" s="10" t="s">
        <v>85</v>
      </c>
      <c r="L10" s="9">
        <f t="shared" si="0"/>
        <v>0</v>
      </c>
      <c r="M10" s="9">
        <f>_xlfn.XLOOKUP(B10,Creditos!A:A,Creditos!J:J,0)</f>
        <v>0</v>
      </c>
    </row>
    <row r="11" spans="1:15">
      <c r="A11" s="10" t="s">
        <v>95</v>
      </c>
      <c r="B11" s="10" t="s">
        <v>46</v>
      </c>
      <c r="C11" s="11" t="s">
        <v>60</v>
      </c>
      <c r="D11" s="1">
        <v>46182</v>
      </c>
      <c r="E11" s="10" t="s">
        <v>98</v>
      </c>
      <c r="F11" s="9">
        <v>60000</v>
      </c>
      <c r="G11" s="9">
        <v>60000</v>
      </c>
      <c r="H11" s="9">
        <v>0</v>
      </c>
      <c r="J11" s="10" t="s">
        <v>85</v>
      </c>
      <c r="L11" s="9">
        <f t="shared" si="0"/>
        <v>0</v>
      </c>
      <c r="M11" s="9">
        <f>_xlfn.XLOOKUP(B11,Creditos!A:A,Creditos!J:J,0)</f>
        <v>0</v>
      </c>
    </row>
    <row r="12" spans="1:15">
      <c r="A12" s="10" t="s">
        <v>96</v>
      </c>
      <c r="B12" s="10" t="s">
        <v>46</v>
      </c>
      <c r="C12" s="11" t="s">
        <v>60</v>
      </c>
      <c r="D12" s="1">
        <v>46212</v>
      </c>
      <c r="E12" s="10" t="s">
        <v>98</v>
      </c>
      <c r="F12" s="9">
        <v>60000</v>
      </c>
      <c r="G12" s="9">
        <v>60000</v>
      </c>
      <c r="H12" s="9">
        <v>0</v>
      </c>
      <c r="J12" s="10" t="s">
        <v>85</v>
      </c>
      <c r="L12" s="9">
        <f t="shared" si="0"/>
        <v>0</v>
      </c>
      <c r="M12" s="9">
        <f>_xlfn.XLOOKUP(B12,Creditos!A:A,Creditos!J:J,0)</f>
        <v>0</v>
      </c>
    </row>
    <row r="13" spans="1:15">
      <c r="A13" s="10" t="s">
        <v>97</v>
      </c>
      <c r="B13" s="10" t="s">
        <v>46</v>
      </c>
      <c r="C13" s="11" t="s">
        <v>60</v>
      </c>
      <c r="D13" s="1">
        <v>46243</v>
      </c>
      <c r="E13" s="10" t="s">
        <v>98</v>
      </c>
      <c r="F13" s="9">
        <v>60000</v>
      </c>
      <c r="G13" s="9">
        <v>60000</v>
      </c>
      <c r="H13" s="9">
        <v>0</v>
      </c>
      <c r="J13" s="10" t="s">
        <v>85</v>
      </c>
      <c r="L13" s="9">
        <f t="shared" si="0"/>
        <v>0</v>
      </c>
      <c r="M13" s="9">
        <f>_xlfn.XLOOKUP(B13,Creditos!A:A,Creditos!J:J,0)</f>
        <v>0</v>
      </c>
    </row>
    <row r="14" spans="1:15">
      <c r="A14" s="10" t="s">
        <v>99</v>
      </c>
      <c r="B14" s="10" t="s">
        <v>47</v>
      </c>
      <c r="C14" s="10" t="s">
        <v>61</v>
      </c>
      <c r="D14" s="1">
        <v>45998</v>
      </c>
      <c r="E14" s="10" t="s">
        <v>84</v>
      </c>
      <c r="F14" s="9">
        <v>12000</v>
      </c>
      <c r="G14" s="9">
        <v>12000</v>
      </c>
      <c r="H14" s="9">
        <v>0</v>
      </c>
      <c r="J14" s="10" t="s">
        <v>85</v>
      </c>
      <c r="L14" s="9">
        <f t="shared" si="0"/>
        <v>0</v>
      </c>
      <c r="M14" s="9">
        <f>_xlfn.XLOOKUP(B14,Creditos!A:A,Creditos!J:J,0)</f>
        <v>0</v>
      </c>
    </row>
    <row r="15" spans="1:15">
      <c r="A15" s="10" t="s">
        <v>100</v>
      </c>
      <c r="B15" s="10" t="s">
        <v>47</v>
      </c>
      <c r="C15" s="10" t="s">
        <v>61</v>
      </c>
      <c r="D15" s="1">
        <v>46029</v>
      </c>
      <c r="E15" s="10" t="s">
        <v>84</v>
      </c>
      <c r="F15" s="9">
        <v>12000</v>
      </c>
      <c r="G15" s="9">
        <v>12000</v>
      </c>
      <c r="H15" s="9">
        <v>0</v>
      </c>
      <c r="J15" s="10" t="s">
        <v>85</v>
      </c>
      <c r="L15" s="9">
        <f t="shared" si="0"/>
        <v>0</v>
      </c>
      <c r="M15" s="9">
        <f>_xlfn.XLOOKUP(B15,Creditos!A:A,Creditos!J:J,0)</f>
        <v>0</v>
      </c>
    </row>
    <row r="16" spans="1:15">
      <c r="A16" s="10" t="s">
        <v>101</v>
      </c>
      <c r="B16" s="10" t="s">
        <v>47</v>
      </c>
      <c r="C16" s="10" t="s">
        <v>61</v>
      </c>
      <c r="D16" s="1">
        <v>46060</v>
      </c>
      <c r="E16" s="10" t="s">
        <v>84</v>
      </c>
      <c r="F16" s="9">
        <v>12000</v>
      </c>
      <c r="G16" s="9">
        <v>12000</v>
      </c>
      <c r="H16" s="9">
        <v>0</v>
      </c>
      <c r="J16" s="10" t="s">
        <v>85</v>
      </c>
      <c r="L16" s="9">
        <f t="shared" si="0"/>
        <v>0</v>
      </c>
      <c r="M16" s="9">
        <f>_xlfn.XLOOKUP(B16,Creditos!A:A,Creditos!J:J,0)</f>
        <v>0</v>
      </c>
    </row>
    <row r="17" spans="1:13">
      <c r="A17" s="10" t="s">
        <v>102</v>
      </c>
      <c r="B17" s="10" t="s">
        <v>47</v>
      </c>
      <c r="C17" s="10" t="s">
        <v>61</v>
      </c>
      <c r="D17" s="1">
        <v>46088</v>
      </c>
      <c r="E17" s="10" t="s">
        <v>84</v>
      </c>
      <c r="F17" s="9">
        <v>12000</v>
      </c>
      <c r="G17" s="9">
        <v>12000</v>
      </c>
      <c r="H17" s="9">
        <v>0</v>
      </c>
      <c r="J17" s="10" t="s">
        <v>85</v>
      </c>
      <c r="L17" s="9">
        <f t="shared" si="0"/>
        <v>0</v>
      </c>
      <c r="M17" s="9">
        <f>_xlfn.XLOOKUP(B17,Creditos!A:A,Creditos!J:J,0)</f>
        <v>0</v>
      </c>
    </row>
    <row r="18" spans="1:13">
      <c r="A18" s="10" t="s">
        <v>103</v>
      </c>
      <c r="B18" s="10" t="s">
        <v>47</v>
      </c>
      <c r="C18" s="10" t="s">
        <v>61</v>
      </c>
      <c r="D18" s="1">
        <v>46119</v>
      </c>
      <c r="E18" s="10" t="s">
        <v>84</v>
      </c>
      <c r="F18" s="9">
        <v>12000</v>
      </c>
      <c r="G18" s="9">
        <v>12000</v>
      </c>
      <c r="H18" s="9">
        <v>0</v>
      </c>
      <c r="J18" s="10" t="s">
        <v>85</v>
      </c>
      <c r="L18" s="9">
        <f t="shared" si="0"/>
        <v>0</v>
      </c>
      <c r="M18" s="9">
        <f>_xlfn.XLOOKUP(B18,Creditos!A:A,Creditos!J:J,0)</f>
        <v>0</v>
      </c>
    </row>
    <row r="19" spans="1:13">
      <c r="A19" s="10" t="s">
        <v>104</v>
      </c>
      <c r="B19" s="10" t="s">
        <v>47</v>
      </c>
      <c r="C19" s="10" t="s">
        <v>61</v>
      </c>
      <c r="D19" s="1">
        <v>46149</v>
      </c>
      <c r="E19" s="10" t="s">
        <v>84</v>
      </c>
      <c r="F19" s="9">
        <v>12000</v>
      </c>
      <c r="G19" s="9">
        <v>12000</v>
      </c>
      <c r="H19" s="9">
        <v>0</v>
      </c>
      <c r="J19" s="10" t="s">
        <v>85</v>
      </c>
      <c r="L19" s="9">
        <f t="shared" si="0"/>
        <v>0</v>
      </c>
      <c r="M19" s="9">
        <f>_xlfn.XLOOKUP(B19,Creditos!A:A,Creditos!J:J,0)</f>
        <v>0</v>
      </c>
    </row>
    <row r="20" spans="1:13">
      <c r="A20" s="10" t="s">
        <v>105</v>
      </c>
      <c r="B20" s="10" t="s">
        <v>48</v>
      </c>
      <c r="C20" s="10" t="s">
        <v>62</v>
      </c>
      <c r="D20" s="1">
        <v>46110</v>
      </c>
      <c r="E20" s="10" t="s">
        <v>84</v>
      </c>
      <c r="F20" s="9">
        <v>120000</v>
      </c>
      <c r="G20" s="9">
        <v>120000</v>
      </c>
      <c r="H20" s="9">
        <v>0</v>
      </c>
      <c r="J20" s="10" t="s">
        <v>85</v>
      </c>
      <c r="L20" s="9">
        <f t="shared" si="0"/>
        <v>0</v>
      </c>
      <c r="M20" s="9">
        <f>_xlfn.XLOOKUP(B20,Creditos!A:A,Creditos!J:J,0)</f>
        <v>0</v>
      </c>
    </row>
    <row r="21" spans="1:13">
      <c r="A21" s="10" t="s">
        <v>106</v>
      </c>
      <c r="B21" s="10" t="s">
        <v>48</v>
      </c>
      <c r="C21" s="10" t="s">
        <v>62</v>
      </c>
      <c r="D21" s="1">
        <v>46132</v>
      </c>
      <c r="E21" s="10" t="s">
        <v>84</v>
      </c>
      <c r="F21" s="9">
        <v>120000</v>
      </c>
      <c r="G21" s="9">
        <v>120000</v>
      </c>
      <c r="H21" s="9">
        <v>0</v>
      </c>
      <c r="J21" s="10" t="s">
        <v>85</v>
      </c>
      <c r="L21" s="9">
        <f t="shared" si="0"/>
        <v>0</v>
      </c>
      <c r="M21" s="9">
        <f>_xlfn.XLOOKUP(B21,Creditos!A:A,Creditos!J:J,0)</f>
        <v>0</v>
      </c>
    </row>
    <row r="22" spans="1:13">
      <c r="A22" s="10" t="s">
        <v>107</v>
      </c>
      <c r="B22" s="10" t="s">
        <v>48</v>
      </c>
      <c r="C22" s="10" t="s">
        <v>62</v>
      </c>
      <c r="D22" s="1">
        <v>46172</v>
      </c>
      <c r="E22" s="10" t="s">
        <v>84</v>
      </c>
      <c r="F22" s="9">
        <v>120000</v>
      </c>
      <c r="G22" s="9">
        <v>120000</v>
      </c>
      <c r="H22" s="9">
        <v>0</v>
      </c>
      <c r="J22" s="10" t="s">
        <v>85</v>
      </c>
      <c r="L22" s="9">
        <f t="shared" si="0"/>
        <v>0</v>
      </c>
      <c r="M22" s="9">
        <f>_xlfn.XLOOKUP(B22,Creditos!A:A,Creditos!J:J,0)</f>
        <v>0</v>
      </c>
    </row>
    <row r="23" spans="1:13">
      <c r="A23" s="10" t="s">
        <v>108</v>
      </c>
      <c r="B23" s="10" t="s">
        <v>48</v>
      </c>
      <c r="C23" s="10" t="s">
        <v>62</v>
      </c>
      <c r="D23" s="1">
        <v>46197</v>
      </c>
      <c r="E23" s="10" t="s">
        <v>84</v>
      </c>
      <c r="F23" s="9">
        <v>120000</v>
      </c>
      <c r="G23" s="9">
        <v>120000</v>
      </c>
      <c r="H23" s="9">
        <v>0</v>
      </c>
      <c r="J23" s="10" t="s">
        <v>85</v>
      </c>
      <c r="L23" s="9">
        <f t="shared" si="0"/>
        <v>0</v>
      </c>
      <c r="M23" s="9">
        <f>_xlfn.XLOOKUP(B23,Creditos!A:A,Creditos!J:J,0)</f>
        <v>0</v>
      </c>
    </row>
    <row r="24" spans="1:13">
      <c r="A24" s="10" t="s">
        <v>109</v>
      </c>
      <c r="B24" s="10" t="s">
        <v>48</v>
      </c>
      <c r="C24" s="10" t="s">
        <v>62</v>
      </c>
      <c r="D24" s="1">
        <v>46233</v>
      </c>
      <c r="E24" s="10" t="s">
        <v>84</v>
      </c>
      <c r="F24" s="9">
        <v>120000</v>
      </c>
      <c r="G24" s="9">
        <v>120000</v>
      </c>
      <c r="H24" s="9">
        <v>0</v>
      </c>
      <c r="J24" s="10" t="s">
        <v>85</v>
      </c>
      <c r="L24" s="9">
        <f t="shared" si="0"/>
        <v>0</v>
      </c>
      <c r="M24" s="9">
        <f>_xlfn.XLOOKUP(B24,Creditos!A:A,Creditos!J:J,0)</f>
        <v>0</v>
      </c>
    </row>
    <row r="25" spans="1:13">
      <c r="A25" s="10" t="s">
        <v>110</v>
      </c>
      <c r="B25" s="10" t="s">
        <v>49</v>
      </c>
      <c r="C25" s="10" t="s">
        <v>63</v>
      </c>
      <c r="D25" s="1">
        <v>46253</v>
      </c>
      <c r="E25" s="10" t="s">
        <v>84</v>
      </c>
      <c r="F25" s="9">
        <v>105000</v>
      </c>
      <c r="G25" s="9">
        <v>105000</v>
      </c>
      <c r="H25" s="9">
        <v>0</v>
      </c>
      <c r="J25" s="10" t="s">
        <v>85</v>
      </c>
      <c r="L25" s="9">
        <f t="shared" si="0"/>
        <v>0</v>
      </c>
      <c r="M25" s="9">
        <f>_xlfn.XLOOKUP(B25,Creditos!A:A,Creditos!J:J,0)</f>
        <v>0</v>
      </c>
    </row>
    <row r="26" spans="1:13">
      <c r="A26" s="10" t="s">
        <v>111</v>
      </c>
      <c r="B26" s="10" t="s">
        <v>50</v>
      </c>
      <c r="C26" s="10" t="s">
        <v>64</v>
      </c>
      <c r="D26" s="1">
        <v>45829</v>
      </c>
      <c r="E26" s="10" t="s">
        <v>84</v>
      </c>
      <c r="F26" s="9">
        <v>108000</v>
      </c>
      <c r="G26" s="9">
        <v>23750</v>
      </c>
      <c r="H26" s="9">
        <v>83333</v>
      </c>
      <c r="I26" s="9">
        <v>2</v>
      </c>
      <c r="J26" s="10" t="s">
        <v>87</v>
      </c>
      <c r="L26" s="9">
        <f t="shared" si="0"/>
        <v>917</v>
      </c>
      <c r="M26" s="9">
        <f>_xlfn.XLOOKUP(B26,Creditos!A:A,Creditos!J:J,0)</f>
        <v>107083</v>
      </c>
    </row>
    <row r="27" spans="1:13">
      <c r="A27" s="10" t="s">
        <v>112</v>
      </c>
      <c r="B27" s="10" t="s">
        <v>50</v>
      </c>
      <c r="C27" s="10" t="s">
        <v>64</v>
      </c>
      <c r="D27" s="1">
        <v>45859</v>
      </c>
      <c r="E27" s="10" t="s">
        <v>84</v>
      </c>
      <c r="F27" s="9">
        <v>108000</v>
      </c>
      <c r="G27" s="9">
        <v>23750</v>
      </c>
      <c r="H27" s="9">
        <v>83333</v>
      </c>
      <c r="I27" s="9">
        <v>3</v>
      </c>
      <c r="J27" s="10" t="s">
        <v>87</v>
      </c>
      <c r="L27" s="9">
        <f t="shared" si="0"/>
        <v>917</v>
      </c>
      <c r="M27" s="9">
        <f>_xlfn.XLOOKUP(B27,Creditos!A:A,Creditos!J:J,0)</f>
        <v>107083</v>
      </c>
    </row>
    <row r="28" spans="1:13">
      <c r="A28" s="10" t="s">
        <v>113</v>
      </c>
      <c r="B28" s="10" t="s">
        <v>50</v>
      </c>
      <c r="C28" s="10" t="s">
        <v>64</v>
      </c>
      <c r="D28" s="1">
        <v>45890</v>
      </c>
      <c r="E28" s="10" t="s">
        <v>84</v>
      </c>
      <c r="F28" s="9">
        <v>108000</v>
      </c>
      <c r="G28" s="9">
        <v>23750</v>
      </c>
      <c r="H28" s="9">
        <v>83333</v>
      </c>
      <c r="I28" s="9">
        <v>4</v>
      </c>
      <c r="J28" s="10" t="s">
        <v>87</v>
      </c>
      <c r="L28" s="9">
        <f t="shared" si="0"/>
        <v>917</v>
      </c>
      <c r="M28" s="9">
        <f>_xlfn.XLOOKUP(B28,Creditos!A:A,Creditos!J:J,0)</f>
        <v>107083</v>
      </c>
    </row>
    <row r="29" spans="1:13">
      <c r="A29" s="10" t="s">
        <v>114</v>
      </c>
      <c r="B29" s="10" t="s">
        <v>50</v>
      </c>
      <c r="C29" s="10" t="s">
        <v>64</v>
      </c>
      <c r="D29" s="1">
        <v>45921</v>
      </c>
      <c r="E29" s="10" t="s">
        <v>84</v>
      </c>
      <c r="F29" s="9">
        <v>108000</v>
      </c>
      <c r="G29" s="9">
        <v>23750</v>
      </c>
      <c r="H29" s="9">
        <v>83333</v>
      </c>
      <c r="I29" s="9">
        <v>5</v>
      </c>
      <c r="J29" s="10" t="s">
        <v>87</v>
      </c>
      <c r="L29" s="9">
        <f t="shared" si="0"/>
        <v>917</v>
      </c>
      <c r="M29" s="9">
        <f>_xlfn.XLOOKUP(B29,Creditos!A:A,Creditos!J:J,0)</f>
        <v>107083</v>
      </c>
    </row>
    <row r="30" spans="1:13">
      <c r="A30" s="10" t="s">
        <v>115</v>
      </c>
      <c r="B30" s="10" t="s">
        <v>50</v>
      </c>
      <c r="C30" s="10" t="s">
        <v>64</v>
      </c>
      <c r="D30" s="1">
        <v>45951</v>
      </c>
      <c r="E30" s="10" t="s">
        <v>84</v>
      </c>
      <c r="F30" s="9">
        <v>108000</v>
      </c>
      <c r="G30" s="9">
        <v>23750</v>
      </c>
      <c r="H30" s="9">
        <v>83333</v>
      </c>
      <c r="I30" s="9">
        <v>6</v>
      </c>
      <c r="J30" s="10" t="s">
        <v>87</v>
      </c>
      <c r="L30" s="9">
        <f t="shared" si="0"/>
        <v>917</v>
      </c>
      <c r="M30" s="9">
        <f>_xlfn.XLOOKUP(B30,Creditos!A:A,Creditos!J:J,0)</f>
        <v>107083</v>
      </c>
    </row>
    <row r="31" spans="1:13">
      <c r="A31" s="10" t="s">
        <v>116</v>
      </c>
      <c r="B31" s="10" t="s">
        <v>50</v>
      </c>
      <c r="C31" s="10" t="s">
        <v>64</v>
      </c>
      <c r="D31" s="1">
        <v>45982</v>
      </c>
      <c r="E31" s="10" t="s">
        <v>84</v>
      </c>
      <c r="F31" s="9">
        <v>108000</v>
      </c>
      <c r="G31" s="9">
        <v>23750</v>
      </c>
      <c r="H31" s="9">
        <v>83333</v>
      </c>
      <c r="I31" s="9">
        <v>7</v>
      </c>
      <c r="J31" s="10" t="s">
        <v>87</v>
      </c>
      <c r="L31" s="9">
        <f t="shared" si="0"/>
        <v>917</v>
      </c>
      <c r="M31" s="9">
        <f>_xlfn.XLOOKUP(B31,Creditos!A:A,Creditos!J:J,0)</f>
        <v>107083</v>
      </c>
    </row>
    <row r="32" spans="1:13">
      <c r="A32" s="10" t="s">
        <v>117</v>
      </c>
      <c r="B32" s="10" t="s">
        <v>50</v>
      </c>
      <c r="C32" s="10" t="s">
        <v>64</v>
      </c>
      <c r="D32" s="1">
        <v>46012</v>
      </c>
      <c r="E32" s="10" t="s">
        <v>84</v>
      </c>
      <c r="F32" s="9">
        <v>108000</v>
      </c>
      <c r="G32" s="9">
        <v>23750</v>
      </c>
      <c r="H32" s="9">
        <v>83333</v>
      </c>
      <c r="I32" s="9">
        <v>8</v>
      </c>
      <c r="J32" s="10" t="s">
        <v>87</v>
      </c>
      <c r="L32" s="9">
        <f t="shared" si="0"/>
        <v>917</v>
      </c>
      <c r="M32" s="9">
        <f>_xlfn.XLOOKUP(B32,Creditos!A:A,Creditos!J:J,0)</f>
        <v>107083</v>
      </c>
    </row>
    <row r="33" spans="1:20">
      <c r="A33" s="10" t="s">
        <v>118</v>
      </c>
      <c r="B33" s="10" t="s">
        <v>51</v>
      </c>
      <c r="C33" s="10" t="s">
        <v>65</v>
      </c>
      <c r="D33" s="1">
        <v>46193</v>
      </c>
      <c r="E33" s="10" t="s">
        <v>84</v>
      </c>
      <c r="F33" s="9">
        <v>21000</v>
      </c>
      <c r="G33" s="9">
        <v>21000</v>
      </c>
      <c r="H33" s="9">
        <v>0</v>
      </c>
      <c r="J33" s="10" t="s">
        <v>85</v>
      </c>
      <c r="L33" s="9">
        <f t="shared" si="0"/>
        <v>0</v>
      </c>
      <c r="M33" s="9">
        <f>_xlfn.XLOOKUP(B33,Creditos!A:A,Creditos!J:J,0)</f>
        <v>0</v>
      </c>
    </row>
    <row r="34" spans="1:20">
      <c r="A34" s="10" t="s">
        <v>119</v>
      </c>
      <c r="B34" s="10" t="s">
        <v>51</v>
      </c>
      <c r="C34" s="10" t="s">
        <v>65</v>
      </c>
      <c r="D34" s="1">
        <v>46239</v>
      </c>
      <c r="E34" s="10" t="s">
        <v>84</v>
      </c>
      <c r="F34" s="9">
        <v>21000</v>
      </c>
      <c r="G34" s="9">
        <v>21000</v>
      </c>
      <c r="H34" s="9">
        <v>0</v>
      </c>
      <c r="J34" s="10" t="s">
        <v>85</v>
      </c>
      <c r="L34" s="9">
        <f t="shared" si="0"/>
        <v>0</v>
      </c>
      <c r="M34" s="9">
        <f>_xlfn.XLOOKUP(B34,Creditos!A:A,Creditos!J:J,0)</f>
        <v>0</v>
      </c>
    </row>
    <row r="35" spans="1:20">
      <c r="A35" s="10" t="s">
        <v>120</v>
      </c>
      <c r="B35" s="10" t="s">
        <v>52</v>
      </c>
      <c r="C35" s="10" t="s">
        <v>66</v>
      </c>
      <c r="D35" s="1">
        <v>46048</v>
      </c>
      <c r="E35" s="10" t="s">
        <v>84</v>
      </c>
      <c r="F35" s="9">
        <v>45000</v>
      </c>
      <c r="G35" s="9">
        <v>45000</v>
      </c>
      <c r="H35" s="9">
        <v>0</v>
      </c>
      <c r="J35" s="10" t="s">
        <v>85</v>
      </c>
      <c r="L35" s="9">
        <f t="shared" si="0"/>
        <v>0</v>
      </c>
      <c r="M35" s="9">
        <f>_xlfn.XLOOKUP(B35,Creditos!A:A,Creditos!J:J,0)</f>
        <v>0</v>
      </c>
    </row>
    <row r="36" spans="1:20">
      <c r="A36" s="10" t="s">
        <v>121</v>
      </c>
      <c r="B36" s="10" t="s">
        <v>52</v>
      </c>
      <c r="C36" s="10" t="s">
        <v>66</v>
      </c>
      <c r="D36" s="1">
        <v>46079</v>
      </c>
      <c r="E36" s="10" t="s">
        <v>84</v>
      </c>
      <c r="F36" s="9">
        <v>45000</v>
      </c>
      <c r="G36" s="9">
        <v>45000</v>
      </c>
      <c r="H36" s="9">
        <v>0</v>
      </c>
      <c r="J36" s="10" t="s">
        <v>85</v>
      </c>
      <c r="L36" s="9">
        <f t="shared" si="0"/>
        <v>0</v>
      </c>
      <c r="M36" s="9">
        <f>_xlfn.XLOOKUP(B36,Creditos!A:A,Creditos!J:J,0)</f>
        <v>0</v>
      </c>
    </row>
    <row r="37" spans="1:20">
      <c r="A37" s="10" t="s">
        <v>122</v>
      </c>
      <c r="B37" s="10" t="s">
        <v>52</v>
      </c>
      <c r="C37" s="10" t="s">
        <v>66</v>
      </c>
      <c r="D37" s="1">
        <v>46107</v>
      </c>
      <c r="E37" s="10" t="s">
        <v>84</v>
      </c>
      <c r="F37" s="9">
        <v>45000</v>
      </c>
      <c r="G37" s="9">
        <v>45000</v>
      </c>
      <c r="H37" s="9">
        <v>0</v>
      </c>
      <c r="J37" s="10" t="s">
        <v>85</v>
      </c>
      <c r="L37" s="9">
        <f t="shared" si="0"/>
        <v>0</v>
      </c>
      <c r="M37" s="9">
        <f>_xlfn.XLOOKUP(B37,Creditos!A:A,Creditos!J:J,0)</f>
        <v>0</v>
      </c>
    </row>
    <row r="38" spans="1:20">
      <c r="A38" s="10" t="s">
        <v>123</v>
      </c>
      <c r="B38" s="10" t="s">
        <v>52</v>
      </c>
      <c r="C38" s="10" t="s">
        <v>66</v>
      </c>
      <c r="D38" s="1">
        <v>46112</v>
      </c>
      <c r="E38" s="10" t="s">
        <v>84</v>
      </c>
      <c r="F38" s="9">
        <v>500000</v>
      </c>
      <c r="G38" s="9">
        <v>0</v>
      </c>
      <c r="H38" s="9">
        <v>500000</v>
      </c>
      <c r="J38" s="10" t="s">
        <v>127</v>
      </c>
      <c r="L38" s="9">
        <f t="shared" si="0"/>
        <v>0</v>
      </c>
      <c r="M38" s="9">
        <f>_xlfn.XLOOKUP(B38,Creditos!A:A,Creditos!J:J,0)</f>
        <v>0</v>
      </c>
    </row>
    <row r="39" spans="1:20">
      <c r="A39" s="10" t="s">
        <v>124</v>
      </c>
      <c r="B39" s="10" t="s">
        <v>52</v>
      </c>
      <c r="C39" s="10" t="s">
        <v>66</v>
      </c>
      <c r="D39" s="1">
        <v>46138</v>
      </c>
      <c r="E39" s="10" t="s">
        <v>84</v>
      </c>
      <c r="F39" s="9">
        <v>30000</v>
      </c>
      <c r="G39" s="9">
        <v>30000</v>
      </c>
      <c r="H39" s="9">
        <v>0</v>
      </c>
      <c r="J39" s="10" t="s">
        <v>85</v>
      </c>
      <c r="L39" s="9">
        <f t="shared" si="0"/>
        <v>0</v>
      </c>
      <c r="M39" s="9">
        <f>_xlfn.XLOOKUP(B39,Creditos!A:A,Creditos!J:J,0)</f>
        <v>0</v>
      </c>
    </row>
    <row r="40" spans="1:20">
      <c r="A40" s="10" t="s">
        <v>125</v>
      </c>
      <c r="B40" s="10" t="s">
        <v>52</v>
      </c>
      <c r="C40" s="10" t="s">
        <v>66</v>
      </c>
      <c r="D40" s="1">
        <v>46168</v>
      </c>
      <c r="E40" s="10" t="s">
        <v>84</v>
      </c>
      <c r="F40" s="9">
        <v>30000</v>
      </c>
      <c r="G40" s="9">
        <v>30000</v>
      </c>
      <c r="H40" s="9">
        <v>0</v>
      </c>
      <c r="J40" s="10" t="s">
        <v>85</v>
      </c>
      <c r="L40" s="9">
        <f t="shared" si="0"/>
        <v>0</v>
      </c>
      <c r="M40" s="9">
        <f>_xlfn.XLOOKUP(B40,Creditos!A:A,Creditos!J:J,0)</f>
        <v>0</v>
      </c>
    </row>
    <row r="41" spans="1:20">
      <c r="A41" s="10" t="s">
        <v>126</v>
      </c>
      <c r="B41" s="10" t="s">
        <v>52</v>
      </c>
      <c r="C41" s="10" t="s">
        <v>66</v>
      </c>
      <c r="D41" s="1">
        <v>46199</v>
      </c>
      <c r="E41" s="10" t="s">
        <v>84</v>
      </c>
      <c r="F41" s="9">
        <v>30000</v>
      </c>
      <c r="G41" s="9">
        <v>30000</v>
      </c>
      <c r="H41" s="9">
        <v>0</v>
      </c>
      <c r="J41" s="10" t="s">
        <v>85</v>
      </c>
      <c r="L41" s="9">
        <f t="shared" si="0"/>
        <v>0</v>
      </c>
      <c r="M41" s="9">
        <f>_xlfn.XLOOKUP(B41,Creditos!A:A,Creditos!J:J,0)</f>
        <v>0</v>
      </c>
    </row>
    <row r="42" spans="1:20">
      <c r="A42" s="10" t="s">
        <v>128</v>
      </c>
      <c r="B42" s="10" t="s">
        <v>52</v>
      </c>
      <c r="C42" s="10" t="s">
        <v>66</v>
      </c>
      <c r="D42" s="1">
        <v>46229</v>
      </c>
      <c r="E42" s="10" t="s">
        <v>84</v>
      </c>
      <c r="F42" s="9">
        <v>30000</v>
      </c>
      <c r="G42" s="9">
        <v>30000</v>
      </c>
      <c r="H42" s="9">
        <v>0</v>
      </c>
      <c r="J42" s="10" t="s">
        <v>85</v>
      </c>
      <c r="L42" s="9">
        <f t="shared" si="0"/>
        <v>0</v>
      </c>
      <c r="M42" s="9">
        <f>_xlfn.XLOOKUP(B42,Creditos!A:A,Creditos!J:J,0)</f>
        <v>0</v>
      </c>
      <c r="T42" s="7">
        <f>O55/12</f>
        <v>0</v>
      </c>
    </row>
    <row r="43" spans="1:20">
      <c r="A43" s="10" t="s">
        <v>129</v>
      </c>
      <c r="B43" s="10" t="s">
        <v>52</v>
      </c>
      <c r="C43" s="10" t="s">
        <v>66</v>
      </c>
      <c r="D43" s="1">
        <v>46237</v>
      </c>
      <c r="E43" s="10" t="s">
        <v>84</v>
      </c>
      <c r="F43" s="9">
        <v>200000</v>
      </c>
      <c r="G43" s="9">
        <v>0</v>
      </c>
      <c r="H43" s="9">
        <v>200000</v>
      </c>
      <c r="J43" s="10" t="s">
        <v>127</v>
      </c>
      <c r="L43" s="9">
        <f t="shared" si="0"/>
        <v>0</v>
      </c>
      <c r="M43" s="9">
        <f>_xlfn.XLOOKUP(B43,Creditos!A:A,Creditos!J:J,0)</f>
        <v>0</v>
      </c>
    </row>
    <row r="44" spans="1:20">
      <c r="A44" s="10" t="s">
        <v>130</v>
      </c>
      <c r="B44" s="10" t="s">
        <v>52</v>
      </c>
      <c r="C44" s="10" t="s">
        <v>66</v>
      </c>
      <c r="D44" s="1">
        <v>46263</v>
      </c>
      <c r="E44" s="10" t="s">
        <v>84</v>
      </c>
      <c r="F44" s="9">
        <v>500000</v>
      </c>
      <c r="G44" s="9">
        <v>0</v>
      </c>
      <c r="H44" s="9">
        <v>500000</v>
      </c>
      <c r="J44" s="10" t="s">
        <v>127</v>
      </c>
      <c r="L44" s="9">
        <f t="shared" si="0"/>
        <v>0</v>
      </c>
      <c r="M44" s="9">
        <f>_xlfn.XLOOKUP(B44,Creditos!A:A,Creditos!J:J,0)</f>
        <v>0</v>
      </c>
    </row>
    <row r="45" spans="1:20">
      <c r="A45" s="10" t="s">
        <v>131</v>
      </c>
      <c r="B45" s="10" t="s">
        <v>53</v>
      </c>
      <c r="C45" s="10" t="s">
        <v>67</v>
      </c>
      <c r="D45" s="1">
        <v>46141</v>
      </c>
      <c r="E45" s="10" t="s">
        <v>84</v>
      </c>
      <c r="F45" s="9">
        <v>15000</v>
      </c>
      <c r="G45" s="9">
        <v>15000</v>
      </c>
      <c r="H45" s="9">
        <v>0</v>
      </c>
      <c r="J45" s="10" t="s">
        <v>85</v>
      </c>
      <c r="L45" s="9">
        <f t="shared" si="0"/>
        <v>0</v>
      </c>
      <c r="M45" s="9">
        <f>_xlfn.XLOOKUP(B45,Creditos!A:A,Creditos!J:J,0)</f>
        <v>0</v>
      </c>
    </row>
    <row r="46" spans="1:20">
      <c r="A46" s="10" t="s">
        <v>132</v>
      </c>
      <c r="B46" s="10" t="s">
        <v>53</v>
      </c>
      <c r="C46" s="10" t="s">
        <v>67</v>
      </c>
      <c r="D46" s="1">
        <v>46174</v>
      </c>
      <c r="E46" s="10" t="s">
        <v>84</v>
      </c>
      <c r="F46" s="9">
        <v>15000</v>
      </c>
      <c r="G46" s="9">
        <v>15000</v>
      </c>
      <c r="H46" s="9">
        <v>0</v>
      </c>
      <c r="J46" s="10" t="s">
        <v>85</v>
      </c>
      <c r="L46" s="9">
        <f t="shared" si="0"/>
        <v>0</v>
      </c>
      <c r="M46" s="9">
        <f>_xlfn.XLOOKUP(B46,Creditos!A:A,Creditos!J:J,0)</f>
        <v>0</v>
      </c>
    </row>
    <row r="47" spans="1:20">
      <c r="A47" s="10" t="s">
        <v>133</v>
      </c>
      <c r="B47" s="10" t="s">
        <v>53</v>
      </c>
      <c r="C47" s="10" t="s">
        <v>67</v>
      </c>
      <c r="D47" s="1">
        <v>46217</v>
      </c>
      <c r="E47" s="10" t="s">
        <v>84</v>
      </c>
      <c r="F47" s="9">
        <v>30000</v>
      </c>
      <c r="G47" s="9">
        <v>30000</v>
      </c>
      <c r="H47" s="9">
        <v>0</v>
      </c>
      <c r="J47" s="10" t="s">
        <v>85</v>
      </c>
      <c r="L47" s="9">
        <f t="shared" si="0"/>
        <v>0</v>
      </c>
      <c r="M47" s="9">
        <f>_xlfn.XLOOKUP(B47,Creditos!A:A,Creditos!J:J,0)</f>
        <v>0</v>
      </c>
    </row>
    <row r="48" spans="1:20">
      <c r="A48" s="10" t="s">
        <v>134</v>
      </c>
      <c r="B48" s="10" t="s">
        <v>53</v>
      </c>
      <c r="C48" s="10" t="s">
        <v>67</v>
      </c>
      <c r="D48" s="1">
        <v>46219</v>
      </c>
      <c r="E48" s="10" t="s">
        <v>84</v>
      </c>
      <c r="F48" s="9">
        <v>300000</v>
      </c>
      <c r="G48" s="9">
        <v>0</v>
      </c>
      <c r="H48" s="9">
        <v>300000</v>
      </c>
      <c r="J48" s="10" t="s">
        <v>127</v>
      </c>
      <c r="L48" s="9">
        <f t="shared" si="0"/>
        <v>0</v>
      </c>
      <c r="M48" s="9">
        <f>_xlfn.XLOOKUP(B48,Creditos!A:A,Creditos!J:J,0)</f>
        <v>0</v>
      </c>
    </row>
    <row r="49" spans="1:18">
      <c r="A49" s="10" t="s">
        <v>135</v>
      </c>
      <c r="B49" s="10" t="s">
        <v>54</v>
      </c>
      <c r="C49" s="10" t="s">
        <v>68</v>
      </c>
      <c r="D49" s="1">
        <v>45802</v>
      </c>
      <c r="E49" s="10" t="s">
        <v>84</v>
      </c>
      <c r="F49" s="9">
        <v>60000</v>
      </c>
      <c r="G49" s="9">
        <v>60000</v>
      </c>
      <c r="H49" s="9">
        <v>0</v>
      </c>
      <c r="J49" s="10" t="s">
        <v>85</v>
      </c>
      <c r="L49" s="9">
        <f t="shared" si="0"/>
        <v>0</v>
      </c>
      <c r="M49" s="9">
        <f>_xlfn.XLOOKUP(B49,Creditos!A:A,Creditos!J:J,0)</f>
        <v>0</v>
      </c>
    </row>
    <row r="50" spans="1:18">
      <c r="A50" s="10" t="s">
        <v>136</v>
      </c>
      <c r="B50" s="10" t="s">
        <v>54</v>
      </c>
      <c r="C50" s="10" t="s">
        <v>68</v>
      </c>
      <c r="D50" s="1">
        <v>45829</v>
      </c>
      <c r="E50" s="10" t="s">
        <v>84</v>
      </c>
      <c r="F50" s="9">
        <v>60000</v>
      </c>
      <c r="G50" s="9">
        <v>60000</v>
      </c>
      <c r="H50" s="9">
        <v>0</v>
      </c>
      <c r="J50" s="10" t="s">
        <v>85</v>
      </c>
      <c r="L50" s="9">
        <f t="shared" si="0"/>
        <v>0</v>
      </c>
      <c r="M50" s="9">
        <f>_xlfn.XLOOKUP(B50,Creditos!A:A,Creditos!J:J,0)</f>
        <v>0</v>
      </c>
    </row>
    <row r="51" spans="1:18">
      <c r="A51" s="10" t="s">
        <v>137</v>
      </c>
      <c r="B51" s="10" t="s">
        <v>54</v>
      </c>
      <c r="C51" s="10" t="s">
        <v>68</v>
      </c>
      <c r="D51" s="1">
        <v>45851</v>
      </c>
      <c r="E51" s="10" t="s">
        <v>84</v>
      </c>
      <c r="F51" s="9">
        <v>60000</v>
      </c>
      <c r="G51" s="9">
        <v>60000</v>
      </c>
      <c r="H51" s="9">
        <v>0</v>
      </c>
      <c r="J51" s="10" t="s">
        <v>85</v>
      </c>
      <c r="L51" s="9">
        <f t="shared" si="0"/>
        <v>0</v>
      </c>
      <c r="M51" s="9">
        <f>_xlfn.XLOOKUP(B51,Creditos!A:A,Creditos!J:J,0)</f>
        <v>0</v>
      </c>
    </row>
    <row r="52" spans="1:18">
      <c r="A52" s="10" t="s">
        <v>138</v>
      </c>
      <c r="B52" s="10" t="s">
        <v>54</v>
      </c>
      <c r="C52" s="10" t="s">
        <v>68</v>
      </c>
      <c r="D52" s="1">
        <v>45882</v>
      </c>
      <c r="E52" s="10" t="s">
        <v>84</v>
      </c>
      <c r="F52" s="9">
        <v>60000</v>
      </c>
      <c r="G52" s="9">
        <v>60000</v>
      </c>
      <c r="H52" s="9">
        <v>0</v>
      </c>
      <c r="J52" s="10" t="s">
        <v>85</v>
      </c>
      <c r="L52" s="9">
        <f t="shared" si="0"/>
        <v>0</v>
      </c>
      <c r="M52" s="9">
        <f>_xlfn.XLOOKUP(B52,Creditos!A:A,Creditos!J:J,0)</f>
        <v>0</v>
      </c>
    </row>
    <row r="53" spans="1:18">
      <c r="A53" s="10" t="s">
        <v>139</v>
      </c>
      <c r="B53" s="10" t="s">
        <v>54</v>
      </c>
      <c r="C53" s="10" t="s">
        <v>68</v>
      </c>
      <c r="D53" s="1">
        <v>45912</v>
      </c>
      <c r="E53" s="10" t="s">
        <v>84</v>
      </c>
      <c r="F53" s="9">
        <v>60000</v>
      </c>
      <c r="G53" s="9">
        <v>60000</v>
      </c>
      <c r="H53" s="9">
        <v>0</v>
      </c>
      <c r="J53" s="10" t="s">
        <v>85</v>
      </c>
      <c r="L53" s="9">
        <f t="shared" si="0"/>
        <v>0</v>
      </c>
      <c r="M53" s="9">
        <f>_xlfn.XLOOKUP(B53,Creditos!A:A,Creditos!J:J,0)</f>
        <v>0</v>
      </c>
    </row>
    <row r="54" spans="1:18">
      <c r="A54" s="10" t="s">
        <v>140</v>
      </c>
      <c r="B54" s="10" t="s">
        <v>54</v>
      </c>
      <c r="C54" s="10" t="s">
        <v>68</v>
      </c>
      <c r="D54" s="1">
        <v>45962</v>
      </c>
      <c r="E54" s="10" t="s">
        <v>84</v>
      </c>
      <c r="F54" s="9">
        <v>60000</v>
      </c>
      <c r="G54" s="9">
        <v>60000</v>
      </c>
      <c r="H54" s="9">
        <v>0</v>
      </c>
      <c r="J54" s="10" t="s">
        <v>85</v>
      </c>
      <c r="L54" s="9">
        <f t="shared" si="0"/>
        <v>0</v>
      </c>
      <c r="M54" s="9">
        <f>_xlfn.XLOOKUP(B54,Creditos!A:A,Creditos!J:J,0)</f>
        <v>0</v>
      </c>
    </row>
    <row r="55" spans="1:18">
      <c r="A55" s="10" t="s">
        <v>141</v>
      </c>
      <c r="B55" s="10" t="s">
        <v>54</v>
      </c>
      <c r="C55" s="10" t="s">
        <v>68</v>
      </c>
      <c r="D55" s="1">
        <v>45997</v>
      </c>
      <c r="E55" s="10" t="s">
        <v>84</v>
      </c>
      <c r="F55" s="9">
        <v>120000</v>
      </c>
      <c r="G55" s="9">
        <v>120000</v>
      </c>
      <c r="H55" s="9">
        <v>0</v>
      </c>
      <c r="J55" s="10" t="s">
        <v>85</v>
      </c>
      <c r="L55" s="9">
        <f t="shared" si="0"/>
        <v>0</v>
      </c>
      <c r="M55" s="9">
        <f>_xlfn.XLOOKUP(B55,Creditos!A:A,Creditos!J:J,0)</f>
        <v>0</v>
      </c>
      <c r="O55" s="6"/>
      <c r="P55" s="6"/>
      <c r="Q55" s="6"/>
      <c r="R55" s="6"/>
    </row>
    <row r="56" spans="1:18">
      <c r="A56" s="10" t="s">
        <v>142</v>
      </c>
      <c r="B56" s="10" t="s">
        <v>54</v>
      </c>
      <c r="C56" s="10" t="s">
        <v>68</v>
      </c>
      <c r="D56" s="1">
        <v>46048</v>
      </c>
      <c r="E56" s="10" t="s">
        <v>84</v>
      </c>
      <c r="F56" s="9">
        <v>60000</v>
      </c>
      <c r="G56" s="9">
        <v>60000</v>
      </c>
      <c r="H56" s="9">
        <v>0</v>
      </c>
      <c r="J56" s="10" t="s">
        <v>85</v>
      </c>
      <c r="L56" s="9">
        <f t="shared" si="0"/>
        <v>0</v>
      </c>
      <c r="M56" s="9">
        <f>_xlfn.XLOOKUP(B56,Creditos!A:A,Creditos!J:J,0)</f>
        <v>0</v>
      </c>
      <c r="O56" s="6"/>
      <c r="P56" s="6"/>
      <c r="Q56" s="6"/>
      <c r="R56" s="6"/>
    </row>
    <row r="57" spans="1:18">
      <c r="A57" s="10" t="s">
        <v>143</v>
      </c>
      <c r="B57" s="10" t="s">
        <v>54</v>
      </c>
      <c r="C57" s="10" t="s">
        <v>68</v>
      </c>
      <c r="D57" s="1">
        <v>46080</v>
      </c>
      <c r="E57" s="10" t="s">
        <v>84</v>
      </c>
      <c r="F57" s="9">
        <v>60000</v>
      </c>
      <c r="G57" s="9">
        <v>60000</v>
      </c>
      <c r="H57" s="9">
        <v>0</v>
      </c>
      <c r="J57" s="10" t="s">
        <v>85</v>
      </c>
      <c r="L57" s="9">
        <f t="shared" si="0"/>
        <v>0</v>
      </c>
      <c r="M57" s="9">
        <f>_xlfn.XLOOKUP(B57,Creditos!A:A,Creditos!J:J,0)</f>
        <v>0</v>
      </c>
      <c r="O57" s="6"/>
      <c r="P57" s="6">
        <v>60000</v>
      </c>
      <c r="Q57" s="6"/>
      <c r="R57" s="6"/>
    </row>
    <row r="58" spans="1:18">
      <c r="A58" s="10" t="s">
        <v>144</v>
      </c>
      <c r="B58" s="10" t="s">
        <v>54</v>
      </c>
      <c r="C58" s="10" t="s">
        <v>68</v>
      </c>
      <c r="D58" s="1">
        <v>46107</v>
      </c>
      <c r="E58" s="10" t="s">
        <v>84</v>
      </c>
      <c r="F58" s="9">
        <v>60000</v>
      </c>
      <c r="G58" s="9">
        <v>60000</v>
      </c>
      <c r="H58" s="9">
        <v>0</v>
      </c>
      <c r="J58" s="10" t="s">
        <v>85</v>
      </c>
      <c r="L58" s="9">
        <f t="shared" si="0"/>
        <v>0</v>
      </c>
      <c r="M58" s="9">
        <f>_xlfn.XLOOKUP(B58,Creditos!A:A,Creditos!J:J,0)</f>
        <v>0</v>
      </c>
      <c r="O58" s="6"/>
      <c r="P58" s="6">
        <f>P57*16</f>
        <v>960000</v>
      </c>
      <c r="Q58" s="6"/>
      <c r="R58" s="6"/>
    </row>
    <row r="59" spans="1:18">
      <c r="A59" s="10" t="s">
        <v>145</v>
      </c>
      <c r="B59" s="10" t="s">
        <v>54</v>
      </c>
      <c r="C59" s="10" t="s">
        <v>68</v>
      </c>
      <c r="D59" s="1">
        <v>46142</v>
      </c>
      <c r="E59" s="10" t="s">
        <v>84</v>
      </c>
      <c r="F59" s="9">
        <v>60000</v>
      </c>
      <c r="G59" s="9">
        <v>60000</v>
      </c>
      <c r="H59" s="9">
        <v>0</v>
      </c>
      <c r="J59" s="10" t="s">
        <v>85</v>
      </c>
      <c r="L59" s="9">
        <f t="shared" si="0"/>
        <v>0</v>
      </c>
      <c r="M59" s="9">
        <f>_xlfn.XLOOKUP(B59,Creditos!A:A,Creditos!J:J,0)</f>
        <v>0</v>
      </c>
      <c r="O59" s="6"/>
      <c r="P59" s="6"/>
      <c r="Q59" s="6"/>
      <c r="R59" s="6"/>
    </row>
    <row r="60" spans="1:18">
      <c r="A60" s="10" t="s">
        <v>146</v>
      </c>
      <c r="B60" s="10" t="s">
        <v>54</v>
      </c>
      <c r="C60" s="10" t="s">
        <v>68</v>
      </c>
      <c r="D60" s="1">
        <v>46179</v>
      </c>
      <c r="E60" s="10" t="s">
        <v>84</v>
      </c>
      <c r="F60" s="9">
        <v>120000</v>
      </c>
      <c r="G60" s="9">
        <v>120000</v>
      </c>
      <c r="H60" s="9">
        <v>0</v>
      </c>
      <c r="J60" s="10" t="s">
        <v>85</v>
      </c>
      <c r="L60" s="9">
        <f t="shared" si="0"/>
        <v>0</v>
      </c>
      <c r="M60" s="9">
        <f>_xlfn.XLOOKUP(B60,Creditos!A:A,Creditos!J:J,0)</f>
        <v>0</v>
      </c>
      <c r="O60" s="6"/>
      <c r="P60" s="6">
        <f>SUM(F49:F61)</f>
        <v>960000</v>
      </c>
      <c r="Q60" s="6"/>
      <c r="R60" s="6"/>
    </row>
    <row r="61" spans="1:18">
      <c r="A61" s="10" t="s">
        <v>147</v>
      </c>
      <c r="B61" s="10" t="s">
        <v>54</v>
      </c>
      <c r="C61" s="10" t="s">
        <v>68</v>
      </c>
      <c r="D61" s="1">
        <v>46239</v>
      </c>
      <c r="E61" s="10" t="s">
        <v>84</v>
      </c>
      <c r="F61" s="9">
        <v>120000</v>
      </c>
      <c r="G61" s="9">
        <v>120000</v>
      </c>
      <c r="H61" s="9">
        <v>0</v>
      </c>
      <c r="J61" s="10" t="s">
        <v>85</v>
      </c>
      <c r="L61" s="9">
        <f t="shared" si="0"/>
        <v>0</v>
      </c>
      <c r="M61" s="9">
        <f>_xlfn.XLOOKUP(B61,Creditos!A:A,Creditos!J:J,0)</f>
        <v>0</v>
      </c>
      <c r="O61" s="6"/>
      <c r="P61" s="6"/>
      <c r="Q61" s="6"/>
      <c r="R61" s="6"/>
    </row>
    <row r="62" spans="1:18">
      <c r="A62" s="10" t="s">
        <v>148</v>
      </c>
      <c r="B62" s="10" t="s">
        <v>55</v>
      </c>
      <c r="C62" s="10" t="s">
        <v>69</v>
      </c>
      <c r="D62" s="1">
        <v>45229</v>
      </c>
      <c r="E62" s="10" t="s">
        <v>84</v>
      </c>
      <c r="F62" s="9">
        <v>130000</v>
      </c>
      <c r="G62" s="9">
        <v>21125</v>
      </c>
      <c r="H62" s="13">
        <v>108333</v>
      </c>
      <c r="I62" s="9">
        <v>1</v>
      </c>
      <c r="J62" s="10" t="s">
        <v>87</v>
      </c>
      <c r="L62" s="9">
        <f t="shared" si="0"/>
        <v>542</v>
      </c>
      <c r="M62" s="9">
        <f>_xlfn.XLOOKUP(B62,Creditos!A:A,Creditos!J:J,0)</f>
        <v>129458</v>
      </c>
      <c r="O62" s="6"/>
      <c r="P62" s="6"/>
      <c r="Q62" s="6"/>
      <c r="R62" s="6"/>
    </row>
    <row r="63" spans="1:18">
      <c r="A63" s="10" t="s">
        <v>149</v>
      </c>
      <c r="B63" s="10" t="s">
        <v>55</v>
      </c>
      <c r="C63" s="10" t="s">
        <v>69</v>
      </c>
      <c r="D63" s="1">
        <v>45401</v>
      </c>
      <c r="E63" s="10" t="s">
        <v>84</v>
      </c>
      <c r="F63" s="9">
        <v>130000</v>
      </c>
      <c r="G63" s="9">
        <v>21125</v>
      </c>
      <c r="H63" s="13">
        <v>108333</v>
      </c>
      <c r="I63" s="9">
        <v>2</v>
      </c>
      <c r="J63" s="10" t="s">
        <v>87</v>
      </c>
      <c r="L63" s="9">
        <f t="shared" si="0"/>
        <v>542</v>
      </c>
      <c r="M63" s="9">
        <f>_xlfn.XLOOKUP(B63,Creditos!A:A,Creditos!J:J,0)</f>
        <v>129458</v>
      </c>
      <c r="O63" s="6"/>
      <c r="P63" s="6"/>
      <c r="Q63" s="6"/>
      <c r="R63" s="6"/>
    </row>
    <row r="64" spans="1:18">
      <c r="A64" s="10" t="s">
        <v>150</v>
      </c>
      <c r="B64" s="10" t="s">
        <v>55</v>
      </c>
      <c r="C64" s="10" t="s">
        <v>69</v>
      </c>
      <c r="D64" s="1">
        <v>45590</v>
      </c>
      <c r="E64" s="10" t="s">
        <v>84</v>
      </c>
      <c r="F64" s="9">
        <v>130000</v>
      </c>
      <c r="G64" s="9">
        <v>21125</v>
      </c>
      <c r="H64" s="13">
        <v>108333</v>
      </c>
      <c r="I64" s="9">
        <v>3</v>
      </c>
      <c r="J64" s="10" t="s">
        <v>87</v>
      </c>
      <c r="L64" s="9">
        <f t="shared" si="0"/>
        <v>542</v>
      </c>
      <c r="M64" s="9">
        <f>_xlfn.XLOOKUP(B64,Creditos!A:A,Creditos!J:J,0)</f>
        <v>129458</v>
      </c>
      <c r="O64" s="6"/>
      <c r="P64" s="6"/>
      <c r="Q64" s="6"/>
      <c r="R64" s="6"/>
    </row>
    <row r="65" spans="1:21">
      <c r="A65" s="10" t="s">
        <v>151</v>
      </c>
      <c r="B65" s="10" t="s">
        <v>55</v>
      </c>
      <c r="C65" s="10" t="s">
        <v>69</v>
      </c>
      <c r="D65" s="1">
        <v>45687</v>
      </c>
      <c r="E65" s="10" t="s">
        <v>84</v>
      </c>
      <c r="F65" s="9">
        <v>130000</v>
      </c>
      <c r="G65" s="9">
        <v>21125</v>
      </c>
      <c r="H65" s="13">
        <v>108333</v>
      </c>
      <c r="I65" s="9">
        <v>4</v>
      </c>
      <c r="J65" s="10" t="s">
        <v>87</v>
      </c>
      <c r="L65" s="9">
        <f t="shared" si="0"/>
        <v>542</v>
      </c>
      <c r="M65" s="9">
        <f>_xlfn.XLOOKUP(B65,Creditos!A:A,Creditos!J:J,0)</f>
        <v>129458</v>
      </c>
      <c r="O65" s="6"/>
      <c r="P65" s="6"/>
      <c r="Q65" s="6"/>
      <c r="R65" s="6"/>
    </row>
    <row r="66" spans="1:21">
      <c r="A66" s="10" t="s">
        <v>152</v>
      </c>
      <c r="B66" s="10" t="s">
        <v>55</v>
      </c>
      <c r="C66" s="10" t="s">
        <v>69</v>
      </c>
      <c r="D66" s="1">
        <v>45716</v>
      </c>
      <c r="E66" s="10" t="s">
        <v>84</v>
      </c>
      <c r="F66" s="9">
        <v>130000</v>
      </c>
      <c r="G66" s="9">
        <v>21125</v>
      </c>
      <c r="H66" s="13">
        <v>108333</v>
      </c>
      <c r="I66" s="9">
        <v>5</v>
      </c>
      <c r="J66" s="10" t="s">
        <v>87</v>
      </c>
      <c r="L66" s="9">
        <f t="shared" si="0"/>
        <v>542</v>
      </c>
      <c r="M66" s="9">
        <f>_xlfn.XLOOKUP(B66,Creditos!A:A,Creditos!J:J,0)</f>
        <v>129458</v>
      </c>
      <c r="O66" s="6"/>
      <c r="P66" s="6"/>
      <c r="Q66" s="6"/>
      <c r="R66" s="6"/>
    </row>
    <row r="67" spans="1:21">
      <c r="A67" s="10" t="s">
        <v>153</v>
      </c>
      <c r="B67" s="10" t="s">
        <v>55</v>
      </c>
      <c r="C67" s="10" t="s">
        <v>69</v>
      </c>
      <c r="D67" s="1">
        <v>45747</v>
      </c>
      <c r="E67" s="10" t="s">
        <v>84</v>
      </c>
      <c r="F67" s="9">
        <v>130000</v>
      </c>
      <c r="G67" s="9">
        <v>21125</v>
      </c>
      <c r="H67" s="13">
        <v>108333</v>
      </c>
      <c r="I67" s="9">
        <v>6</v>
      </c>
      <c r="J67" s="10" t="s">
        <v>87</v>
      </c>
      <c r="L67" s="9">
        <f t="shared" ref="L67:L69" si="1">IF(M67=0,0,MAX(0,F67-M67))</f>
        <v>542</v>
      </c>
      <c r="M67" s="9">
        <f>_xlfn.XLOOKUP(B67,Creditos!A:A,Creditos!J:J,0)</f>
        <v>129458</v>
      </c>
    </row>
    <row r="68" spans="1:21">
      <c r="A68" s="10" t="s">
        <v>154</v>
      </c>
      <c r="B68" s="10" t="s">
        <v>55</v>
      </c>
      <c r="C68" s="10" t="s">
        <v>69</v>
      </c>
      <c r="D68" s="1">
        <v>45869</v>
      </c>
      <c r="E68" s="10" t="s">
        <v>84</v>
      </c>
      <c r="F68" s="9">
        <v>130000</v>
      </c>
      <c r="G68" s="9">
        <v>21125</v>
      </c>
      <c r="H68" s="13">
        <v>108333</v>
      </c>
      <c r="I68" s="9">
        <v>7</v>
      </c>
      <c r="J68" s="10" t="s">
        <v>87</v>
      </c>
      <c r="L68" s="9">
        <f t="shared" si="1"/>
        <v>542</v>
      </c>
      <c r="M68" s="9">
        <f>_xlfn.XLOOKUP(B68,Creditos!A:A,Creditos!J:J,0)</f>
        <v>129458</v>
      </c>
      <c r="P68" s="7"/>
      <c r="Q68" s="7"/>
      <c r="R68" s="7"/>
    </row>
    <row r="69" spans="1:21">
      <c r="A69" s="10" t="s">
        <v>155</v>
      </c>
      <c r="B69" s="10" t="s">
        <v>55</v>
      </c>
      <c r="C69" s="10" t="s">
        <v>69</v>
      </c>
      <c r="D69" s="1">
        <v>46057</v>
      </c>
      <c r="E69" s="10" t="s">
        <v>84</v>
      </c>
      <c r="F69" s="9">
        <v>130000</v>
      </c>
      <c r="G69" s="9">
        <v>21125</v>
      </c>
      <c r="H69" s="13">
        <v>108333</v>
      </c>
      <c r="I69" s="9">
        <v>8</v>
      </c>
      <c r="J69" s="10" t="s">
        <v>87</v>
      </c>
      <c r="L69" s="9">
        <f t="shared" si="1"/>
        <v>542</v>
      </c>
      <c r="M69" s="9">
        <f>_xlfn.XLOOKUP(B69,Creditos!A:A,Creditos!J:J,0)</f>
        <v>129458</v>
      </c>
      <c r="U69" s="7"/>
    </row>
  </sheetData>
  <phoneticPr fontId="2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5B39-0CAD-4FD5-A6A1-869BE9A93BD5}">
  <dimension ref="A1:L15"/>
  <sheetViews>
    <sheetView showGridLines="0" workbookViewId="0">
      <selection sqref="A1:J15"/>
    </sheetView>
  </sheetViews>
  <sheetFormatPr baseColWidth="10" defaultRowHeight="15"/>
  <cols>
    <col min="1" max="1" width="12.140625" customWidth="1"/>
    <col min="2" max="2" width="12" customWidth="1"/>
    <col min="3" max="3" width="14" customWidth="1"/>
    <col min="4" max="4" width="15.42578125" customWidth="1"/>
    <col min="5" max="5" width="16.42578125" customWidth="1"/>
    <col min="6" max="6" width="19.28515625" customWidth="1"/>
    <col min="7" max="7" width="19.7109375" customWidth="1"/>
    <col min="8" max="8" width="23.85546875" customWidth="1"/>
    <col min="9" max="9" width="16.5703125" customWidth="1"/>
  </cols>
  <sheetData>
    <row r="1" spans="1:12">
      <c r="A1" t="s">
        <v>33</v>
      </c>
      <c r="B1" t="s">
        <v>0</v>
      </c>
      <c r="C1" t="s">
        <v>158</v>
      </c>
      <c r="D1" t="s">
        <v>36</v>
      </c>
      <c r="E1" t="s">
        <v>159</v>
      </c>
      <c r="F1" t="s">
        <v>160</v>
      </c>
      <c r="G1" t="s">
        <v>161</v>
      </c>
      <c r="H1" t="s">
        <v>162</v>
      </c>
      <c r="I1" t="s">
        <v>164</v>
      </c>
      <c r="J1" t="s">
        <v>163</v>
      </c>
    </row>
    <row r="2" spans="1:12">
      <c r="A2" t="s">
        <v>45</v>
      </c>
      <c r="B2" t="s">
        <v>59</v>
      </c>
      <c r="C2" t="s">
        <v>73</v>
      </c>
      <c r="D2">
        <v>3000000</v>
      </c>
      <c r="E2">
        <f>SUMIF(Pagos!B:B, A2, Pagos!H:H)</f>
        <v>0</v>
      </c>
      <c r="F2">
        <f>D2-E2</f>
        <v>3000000</v>
      </c>
      <c r="G2">
        <f ca="1">IF(C2="INTERES_MENSUAL",SUMIFS(Calendario_Intereses!$G:$G,Calendario_Intereses!$A:$A,A2),IF(C2="CUOTA_FIJA",IFERROR(MAX(0,(VLOOKUP(A2,Creditos!$A:$N,9,FALSE)-COUNTIFS(Pagos!$B:$B,A2,Pagos!$I:$I,"&gt;0"))*AVERAGEIFS(Pagos!$G:$G,Pagos!$B:$B,A2)),0),0))</f>
        <v>90000</v>
      </c>
      <c r="H2">
        <f ca="1">F2+G2</f>
        <v>3090000</v>
      </c>
      <c r="I2">
        <f ca="1">IF(C2="INTERES_MENSUAL",SUMIFS(Calendario_Intereses!$G:$G,Calendario_Intereses!$A:$A,A2,Calendario_Intereses!$C:$C,"&lt;"&amp;TODAY()),IF(C2="CUOTA_FIJA",IFERROR(IF(MAX(0,MIN(VLOOKUP(A2,Creditos!$A:$N,7,FALSE),12*(YEAR(TODAY())-YEAR(VLOOKUP(A2,Creditos!$A:$N,3,FALSE)))+MONTH(TODAY())-MONTH(VLOOKUP(A2,Creditos!$A:$N,3,FALSE))-IF(DAY(TODAY())&lt;VLOOKUP(A2,Creditos!$A:$N,8,FALSE),1,0)))-COUNTIFS(Pagos!$B:$B,A2,Pagos!$I:$I,"&gt;0")&lt;=0,0,IF(MAX(0,MIN(VLOOKUP(A2,Creditos!$A:$N,7,FALSE),12*(YEAR(TODAY())-YEAR(VLOOKUP(A2,Creditos!$A:$N,3,FALSE)))+MONTH(TODAY())-MONTH(VLOOKUP(A2,Creditos!$A:$N,3,FALSE))-IF(DAY(TODAY())&lt;VLOOKUP(A2,Creditos!$A:$N,8,FALSE),1,0)))&gt;=VLOOKUP(A2,Creditos!$A:$N,7,FALSE),H2,(MAX(0,MIN(VLOOKUP(A2,Creditos!$A:$N,7,FALSE),12*(YEAR(TODAY())-YEAR(VLOOKUP(A2,Creditos!$A:$N,3,FALSE)))+MONTH(TODAY())-MONTH(VLOOKUP(A2,Creditos!$A:$N,3,FALSE))-IF(DAY(TODAY())&lt;VLOOKUP(A2,Creditos!$A:$N,8,FALSE),1,0)))-COUNTIFS(Pagos!$B:$B,A2,Pagos!$I:$I,"&gt;0"))*VLOOKUP(A2,Creditos!$A:$N,10,FALSE))),0),0))</f>
        <v>90000</v>
      </c>
      <c r="J2" t="str">
        <f t="shared" ref="J2:J15" ca="1" si="0">IF(H2=0, "Finalizado", IF(I2&gt;0, "En mora", "Al día"))</f>
        <v>En mora</v>
      </c>
    </row>
    <row r="3" spans="1:12">
      <c r="A3" t="s">
        <v>46</v>
      </c>
      <c r="B3" t="s">
        <v>60</v>
      </c>
      <c r="C3" t="s">
        <v>73</v>
      </c>
      <c r="D3">
        <v>2000000</v>
      </c>
      <c r="E3">
        <f>SUMIF(Pagos!B:B, A3, Pagos!H:H)</f>
        <v>0</v>
      </c>
      <c r="F3">
        <f t="shared" ref="F3:F15" si="1">D3-E3</f>
        <v>2000000</v>
      </c>
      <c r="G3">
        <f ca="1">IF(C3="INTERES_MENSUAL",SUMIFS(Calendario_Intereses!$G:$G,Calendario_Intereses!$A:$A,A3),IF(C3="CUOTA_FIJA",IFERROR(MAX(0,(VLOOKUP(A3,Creditos!$A:$N,9,FALSE)-COUNTIFS(Pagos!$B:$B,A3,Pagos!$I:$I,"&gt;0"))*AVERAGEIFS(Pagos!$G:$G,Pagos!$B:$B,A3)),0),0))</f>
        <v>0</v>
      </c>
      <c r="H3">
        <f t="shared" ref="H3:H15" ca="1" si="2">F3+G3</f>
        <v>2000000</v>
      </c>
      <c r="I3">
        <f ca="1">IF(C3="INTERES_MENSUAL",SUMIFS(Calendario_Intereses!$G:$G,Calendario_Intereses!$A:$A,A3,Calendario_Intereses!$C:$C,"&lt;"&amp;TODAY()),IF(C3="CUOTA_FIJA",IFERROR(IF(MAX(0,MIN(VLOOKUP(A3,Creditos!$A:$N,7,FALSE),12*(YEAR(TODAY())-YEAR(VLOOKUP(A3,Creditos!$A:$N,3,FALSE)))+MONTH(TODAY())-MONTH(VLOOKUP(A3,Creditos!$A:$N,3,FALSE))-IF(DAY(TODAY())&lt;VLOOKUP(A3,Creditos!$A:$N,8,FALSE),1,0)))-COUNTIFS(Pagos!$B:$B,A3,Pagos!$I:$I,"&gt;0")&lt;=0,0,IF(MAX(0,MIN(VLOOKUP(A3,Creditos!$A:$N,7,FALSE),12*(YEAR(TODAY())-YEAR(VLOOKUP(A3,Creditos!$A:$N,3,FALSE)))+MONTH(TODAY())-MONTH(VLOOKUP(A3,Creditos!$A:$N,3,FALSE))-IF(DAY(TODAY())&lt;VLOOKUP(A3,Creditos!$A:$N,8,FALSE),1,0)))&gt;=VLOOKUP(A3,Creditos!$A:$N,7,FALSE),H3,(MAX(0,MIN(VLOOKUP(A3,Creditos!$A:$N,7,FALSE),12*(YEAR(TODAY())-YEAR(VLOOKUP(A3,Creditos!$A:$N,3,FALSE)))+MONTH(TODAY())-MONTH(VLOOKUP(A3,Creditos!$A:$N,3,FALSE))-IF(DAY(TODAY())&lt;VLOOKUP(A3,Creditos!$A:$N,8,FALSE),1,0)))-COUNTIFS(Pagos!$B:$B,A3,Pagos!$I:$I,"&gt;0"))*VLOOKUP(A3,Creditos!$A:$N,10,FALSE))),0),0))</f>
        <v>0</v>
      </c>
      <c r="J3" t="str">
        <f t="shared" ca="1" si="0"/>
        <v>Al día</v>
      </c>
    </row>
    <row r="4" spans="1:12">
      <c r="A4" t="s">
        <v>47</v>
      </c>
      <c r="B4" t="s">
        <v>61</v>
      </c>
      <c r="C4" t="s">
        <v>73</v>
      </c>
      <c r="D4">
        <v>400000</v>
      </c>
      <c r="E4">
        <f>SUMIF(Pagos!B:B, A4, Pagos!H:H)</f>
        <v>0</v>
      </c>
      <c r="F4">
        <f t="shared" si="1"/>
        <v>400000</v>
      </c>
      <c r="G4">
        <f ca="1">IF(C4="INTERES_MENSUAL",SUMIFS(Calendario_Intereses!$G:$G,Calendario_Intereses!$A:$A,A4),IF(C4="CUOTA_FIJA",IFERROR(MAX(0,(VLOOKUP(A4,Creditos!$A:$N,9,FALSE)-COUNTIFS(Pagos!$B:$B,A4,Pagos!$I:$I,"&gt;0"))*AVERAGEIFS(Pagos!$G:$G,Pagos!$B:$B,A4)),0),0))</f>
        <v>36000</v>
      </c>
      <c r="H4">
        <f t="shared" ca="1" si="2"/>
        <v>436000</v>
      </c>
      <c r="I4">
        <f ca="1">IF(C4="INTERES_MENSUAL",SUMIFS(Calendario_Intereses!$G:$G,Calendario_Intereses!$A:$A,A4,Calendario_Intereses!$C:$C,"&lt;"&amp;TODAY()),IF(C4="CUOTA_FIJA",IFERROR(IF(MAX(0,MIN(VLOOKUP(A4,Creditos!$A:$N,7,FALSE),12*(YEAR(TODAY())-YEAR(VLOOKUP(A4,Creditos!$A:$N,3,FALSE)))+MONTH(TODAY())-MONTH(VLOOKUP(A4,Creditos!$A:$N,3,FALSE))-IF(DAY(TODAY())&lt;VLOOKUP(A4,Creditos!$A:$N,8,FALSE),1,0)))-COUNTIFS(Pagos!$B:$B,A4,Pagos!$I:$I,"&gt;0")&lt;=0,0,IF(MAX(0,MIN(VLOOKUP(A4,Creditos!$A:$N,7,FALSE),12*(YEAR(TODAY())-YEAR(VLOOKUP(A4,Creditos!$A:$N,3,FALSE)))+MONTH(TODAY())-MONTH(VLOOKUP(A4,Creditos!$A:$N,3,FALSE))-IF(DAY(TODAY())&lt;VLOOKUP(A4,Creditos!$A:$N,8,FALSE),1,0)))&gt;=VLOOKUP(A4,Creditos!$A:$N,7,FALSE),H4,(MAX(0,MIN(VLOOKUP(A4,Creditos!$A:$N,7,FALSE),12*(YEAR(TODAY())-YEAR(VLOOKUP(A4,Creditos!$A:$N,3,FALSE)))+MONTH(TODAY())-MONTH(VLOOKUP(A4,Creditos!$A:$N,3,FALSE))-IF(DAY(TODAY())&lt;VLOOKUP(A4,Creditos!$A:$N,8,FALSE),1,0)))-COUNTIFS(Pagos!$B:$B,A4,Pagos!$I:$I,"&gt;0"))*VLOOKUP(A4,Creditos!$A:$N,10,FALSE))),0),0))</f>
        <v>36000</v>
      </c>
      <c r="J4" t="str">
        <f t="shared" ca="1" si="0"/>
        <v>En mora</v>
      </c>
      <c r="L4" s="16">
        <f>SUMIFS(Pagos!$G:$G,Pagos!$B:$B,A2)</f>
        <v>270000</v>
      </c>
    </row>
    <row r="5" spans="1:12">
      <c r="A5" t="s">
        <v>48</v>
      </c>
      <c r="B5" t="s">
        <v>62</v>
      </c>
      <c r="C5" t="s">
        <v>73</v>
      </c>
      <c r="D5">
        <v>4000000</v>
      </c>
      <c r="E5">
        <f>SUMIF(Pagos!B:B, A5, Pagos!H:H)</f>
        <v>0</v>
      </c>
      <c r="F5">
        <f t="shared" si="1"/>
        <v>4000000</v>
      </c>
      <c r="G5">
        <f ca="1">IF(C5="INTERES_MENSUAL",SUMIFS(Calendario_Intereses!$G:$G,Calendario_Intereses!$A:$A,A5),IF(C5="CUOTA_FIJA",IFERROR(MAX(0,(VLOOKUP(A5,Creditos!$A:$N,9,FALSE)-COUNTIFS(Pagos!$B:$B,A5,Pagos!$I:$I,"&gt;0"))*AVERAGEIFS(Pagos!$G:$G,Pagos!$B:$B,A5)),0),0))</f>
        <v>120000</v>
      </c>
      <c r="H5">
        <f t="shared" ca="1" si="2"/>
        <v>4120000</v>
      </c>
      <c r="I5">
        <f ca="1">IF(C5="INTERES_MENSUAL",SUMIFS(Calendario_Intereses!$G:$G,Calendario_Intereses!$A:$A,A5,Calendario_Intereses!$C:$C,"&lt;"&amp;TODAY()),IF(C5="CUOTA_FIJA",IFERROR(IF(MAX(0,MIN(VLOOKUP(A5,Creditos!$A:$N,7,FALSE),12*(YEAR(TODAY())-YEAR(VLOOKUP(A5,Creditos!$A:$N,3,FALSE)))+MONTH(TODAY())-MONTH(VLOOKUP(A5,Creditos!$A:$N,3,FALSE))-IF(DAY(TODAY())&lt;VLOOKUP(A5,Creditos!$A:$N,8,FALSE),1,0)))-COUNTIFS(Pagos!$B:$B,A5,Pagos!$I:$I,"&gt;0")&lt;=0,0,IF(MAX(0,MIN(VLOOKUP(A5,Creditos!$A:$N,7,FALSE),12*(YEAR(TODAY())-YEAR(VLOOKUP(A5,Creditos!$A:$N,3,FALSE)))+MONTH(TODAY())-MONTH(VLOOKUP(A5,Creditos!$A:$N,3,FALSE))-IF(DAY(TODAY())&lt;VLOOKUP(A5,Creditos!$A:$N,8,FALSE),1,0)))&gt;=VLOOKUP(A5,Creditos!$A:$N,7,FALSE),H5,(MAX(0,MIN(VLOOKUP(A5,Creditos!$A:$N,7,FALSE),12*(YEAR(TODAY())-YEAR(VLOOKUP(A5,Creditos!$A:$N,3,FALSE)))+MONTH(TODAY())-MONTH(VLOOKUP(A5,Creditos!$A:$N,3,FALSE))-IF(DAY(TODAY())&lt;VLOOKUP(A5,Creditos!$A:$N,8,FALSE),1,0)))-COUNTIFS(Pagos!$B:$B,A5,Pagos!$I:$I,"&gt;0"))*VLOOKUP(A5,Creditos!$A:$N,10,FALSE))),0),0))</f>
        <v>120000</v>
      </c>
      <c r="J5" t="str">
        <f t="shared" ca="1" si="0"/>
        <v>En mora</v>
      </c>
    </row>
    <row r="6" spans="1:12">
      <c r="A6" t="s">
        <v>49</v>
      </c>
      <c r="B6" t="s">
        <v>63</v>
      </c>
      <c r="C6" t="s">
        <v>73</v>
      </c>
      <c r="D6">
        <v>3500000</v>
      </c>
      <c r="E6">
        <f>SUMIF(Pagos!B:B, A6, Pagos!H:H)</f>
        <v>0</v>
      </c>
      <c r="F6">
        <f t="shared" si="1"/>
        <v>3500000</v>
      </c>
      <c r="G6">
        <f ca="1">IF(C6="INTERES_MENSUAL",SUMIFS(Calendario_Intereses!$G:$G,Calendario_Intereses!$A:$A,A6),IF(C6="CUOTA_FIJA",IFERROR(MAX(0,(VLOOKUP(A6,Creditos!$A:$N,9,FALSE)-COUNTIFS(Pagos!$B:$B,A6,Pagos!$I:$I,"&gt;0"))*AVERAGEIFS(Pagos!$G:$G,Pagos!$B:$B,A6)),0),0))</f>
        <v>105000</v>
      </c>
      <c r="H6">
        <f t="shared" ca="1" si="2"/>
        <v>3605000</v>
      </c>
      <c r="I6">
        <f ca="1">IF(C6="INTERES_MENSUAL",SUMIFS(Calendario_Intereses!$G:$G,Calendario_Intereses!$A:$A,A6,Calendario_Intereses!$C:$C,"&lt;"&amp;TODAY()),IF(C6="CUOTA_FIJA",IFERROR(IF(MAX(0,MIN(VLOOKUP(A6,Creditos!$A:$N,7,FALSE),12*(YEAR(TODAY())-YEAR(VLOOKUP(A6,Creditos!$A:$N,3,FALSE)))+MONTH(TODAY())-MONTH(VLOOKUP(A6,Creditos!$A:$N,3,FALSE))-IF(DAY(TODAY())&lt;VLOOKUP(A6,Creditos!$A:$N,8,FALSE),1,0)))-COUNTIFS(Pagos!$B:$B,A6,Pagos!$I:$I,"&gt;0")&lt;=0,0,IF(MAX(0,MIN(VLOOKUP(A6,Creditos!$A:$N,7,FALSE),12*(YEAR(TODAY())-YEAR(VLOOKUP(A6,Creditos!$A:$N,3,FALSE)))+MONTH(TODAY())-MONTH(VLOOKUP(A6,Creditos!$A:$N,3,FALSE))-IF(DAY(TODAY())&lt;VLOOKUP(A6,Creditos!$A:$N,8,FALSE),1,0)))&gt;=VLOOKUP(A6,Creditos!$A:$N,7,FALSE),H6,(MAX(0,MIN(VLOOKUP(A6,Creditos!$A:$N,7,FALSE),12*(YEAR(TODAY())-YEAR(VLOOKUP(A6,Creditos!$A:$N,3,FALSE)))+MONTH(TODAY())-MONTH(VLOOKUP(A6,Creditos!$A:$N,3,FALSE))-IF(DAY(TODAY())&lt;VLOOKUP(A6,Creditos!$A:$N,8,FALSE),1,0)))-COUNTIFS(Pagos!$B:$B,A6,Pagos!$I:$I,"&gt;0"))*VLOOKUP(A6,Creditos!$A:$N,10,FALSE))),0),0))</f>
        <v>105000</v>
      </c>
      <c r="J6" t="str">
        <f t="shared" ca="1" si="0"/>
        <v>En mora</v>
      </c>
    </row>
    <row r="7" spans="1:12">
      <c r="A7" t="s">
        <v>50</v>
      </c>
      <c r="B7" t="s">
        <v>64</v>
      </c>
      <c r="C7" t="s">
        <v>74</v>
      </c>
      <c r="D7">
        <v>1500000</v>
      </c>
      <c r="E7">
        <f>SUMIF(Pagos!B:B, A7, Pagos!H:H)</f>
        <v>666664</v>
      </c>
      <c r="F7">
        <f t="shared" si="1"/>
        <v>833336</v>
      </c>
      <c r="G7">
        <f>IF(C7="INTERES_MENSUAL",SUMIFS(Calendario_Intereses!$G:$G,Calendario_Intereses!$A:$A,A7),IF(C7="CUOTA_FIJA",IFERROR(MAX(0,(VLOOKUP(A7,Creditos!$A:$N,9,FALSE)-COUNTIFS(Pagos!$B:$B,A7,Pagos!$I:$I,"&gt;0"))*AVERAGEIFS(Pagos!$G:$G,Pagos!$B:$B,A7)),0),0))</f>
        <v>237500</v>
      </c>
      <c r="H7">
        <f t="shared" si="2"/>
        <v>1070836</v>
      </c>
      <c r="I7">
        <f ca="1">IF(C7="INTERES_MENSUAL",SUMIFS(Calendario_Intereses!$G:$G,Calendario_Intereses!$A:$A,A7,Calendario_Intereses!$C:$C,"&lt;"&amp;TODAY()),IF(C7="CUOTA_FIJA",IFERROR(IF(MAX(0,MIN(VLOOKUP(A7,Creditos!$A:$N,7,FALSE),12*(YEAR(TODAY())-YEAR(VLOOKUP(A7,Creditos!$A:$N,3,FALSE)))+MONTH(TODAY())-MONTH(VLOOKUP(A7,Creditos!$A:$N,3,FALSE))-IF(DAY(TODAY())&lt;VLOOKUP(A7,Creditos!$A:$N,8,FALSE),1,0)))-COUNTIFS(Pagos!$B:$B,A7,Pagos!$I:$I,"&gt;0")&lt;=0,0,IF(MAX(0,MIN(VLOOKUP(A7,Creditos!$A:$N,7,FALSE),12*(YEAR(TODAY())-YEAR(VLOOKUP(A7,Creditos!$A:$N,3,FALSE)))+MONTH(TODAY())-MONTH(VLOOKUP(A7,Creditos!$A:$N,3,FALSE))-IF(DAY(TODAY())&lt;VLOOKUP(A7,Creditos!$A:$N,8,FALSE),1,0)))&gt;=VLOOKUP(A7,Creditos!$A:$N,7,FALSE),H7,(MAX(0,MIN(VLOOKUP(A7,Creditos!$A:$N,7,FALSE),12*(YEAR(TODAY())-YEAR(VLOOKUP(A7,Creditos!$A:$N,3,FALSE)))+MONTH(TODAY())-MONTH(VLOOKUP(A7,Creditos!$A:$N,3,FALSE))-IF(DAY(TODAY())&lt;VLOOKUP(A7,Creditos!$A:$N,8,FALSE),1,0)))-COUNTIFS(Pagos!$B:$B,A7,Pagos!$I:$I,"&gt;0"))*VLOOKUP(A7,Creditos!$A:$N,10,FALSE))),0),0))</f>
        <v>856664</v>
      </c>
      <c r="J7" t="str">
        <f t="shared" ca="1" si="0"/>
        <v>En mora</v>
      </c>
    </row>
    <row r="8" spans="1:12">
      <c r="A8" t="s">
        <v>51</v>
      </c>
      <c r="B8" t="s">
        <v>65</v>
      </c>
      <c r="C8" t="s">
        <v>73</v>
      </c>
      <c r="D8">
        <v>700000</v>
      </c>
      <c r="E8">
        <f>SUMIF(Pagos!B:B, A8, Pagos!H:H)</f>
        <v>0</v>
      </c>
      <c r="F8">
        <f t="shared" si="1"/>
        <v>700000</v>
      </c>
      <c r="G8">
        <f ca="1">IF(C8="INTERES_MENSUAL",SUMIFS(Calendario_Intereses!$G:$G,Calendario_Intereses!$A:$A,A8),IF(C8="CUOTA_FIJA",IFERROR(MAX(0,(VLOOKUP(A8,Creditos!$A:$N,9,FALSE)-COUNTIFS(Pagos!$B:$B,A8,Pagos!$I:$I,"&gt;0"))*AVERAGEIFS(Pagos!$G:$G,Pagos!$B:$B,A8)),0),0))</f>
        <v>21000</v>
      </c>
      <c r="H8">
        <f t="shared" ca="1" si="2"/>
        <v>721000</v>
      </c>
      <c r="I8">
        <f ca="1">IF(C8="INTERES_MENSUAL",SUMIFS(Calendario_Intereses!$G:$G,Calendario_Intereses!$A:$A,A8,Calendario_Intereses!$C:$C,"&lt;"&amp;TODAY()),IF(C8="CUOTA_FIJA",IFERROR(IF(MAX(0,MIN(VLOOKUP(A8,Creditos!$A:$N,7,FALSE),12*(YEAR(TODAY())-YEAR(VLOOKUP(A8,Creditos!$A:$N,3,FALSE)))+MONTH(TODAY())-MONTH(VLOOKUP(A8,Creditos!$A:$N,3,FALSE))-IF(DAY(TODAY())&lt;VLOOKUP(A8,Creditos!$A:$N,8,FALSE),1,0)))-COUNTIFS(Pagos!$B:$B,A8,Pagos!$I:$I,"&gt;0")&lt;=0,0,IF(MAX(0,MIN(VLOOKUP(A8,Creditos!$A:$N,7,FALSE),12*(YEAR(TODAY())-YEAR(VLOOKUP(A8,Creditos!$A:$N,3,FALSE)))+MONTH(TODAY())-MONTH(VLOOKUP(A8,Creditos!$A:$N,3,FALSE))-IF(DAY(TODAY())&lt;VLOOKUP(A8,Creditos!$A:$N,8,FALSE),1,0)))&gt;=VLOOKUP(A8,Creditos!$A:$N,7,FALSE),H8,(MAX(0,MIN(VLOOKUP(A8,Creditos!$A:$N,7,FALSE),12*(YEAR(TODAY())-YEAR(VLOOKUP(A8,Creditos!$A:$N,3,FALSE)))+MONTH(TODAY())-MONTH(VLOOKUP(A8,Creditos!$A:$N,3,FALSE))-IF(DAY(TODAY())&lt;VLOOKUP(A8,Creditos!$A:$N,8,FALSE),1,0)))-COUNTIFS(Pagos!$B:$B,A8,Pagos!$I:$I,"&gt;0"))*VLOOKUP(A8,Creditos!$A:$N,10,FALSE))),0),0))</f>
        <v>21000</v>
      </c>
      <c r="J8" t="str">
        <f t="shared" ca="1" si="0"/>
        <v>En mora</v>
      </c>
    </row>
    <row r="9" spans="1:12">
      <c r="A9" t="s">
        <v>52</v>
      </c>
      <c r="B9" t="s">
        <v>66</v>
      </c>
      <c r="C9" t="s">
        <v>73</v>
      </c>
      <c r="D9">
        <v>1500000</v>
      </c>
      <c r="E9">
        <f>SUMIF(Pagos!B:B, A9, Pagos!H:H)</f>
        <v>1200000</v>
      </c>
      <c r="F9">
        <f t="shared" si="1"/>
        <v>300000</v>
      </c>
      <c r="G9">
        <f ca="1">IF(C9="INTERES_MENSUAL",SUMIFS(Calendario_Intereses!$G:$G,Calendario_Intereses!$A:$A,A9),IF(C9="CUOTA_FIJA",IFERROR(MAX(0,(VLOOKUP(A9,Creditos!$A:$N,9,FALSE)-COUNTIFS(Pagos!$B:$B,A9,Pagos!$I:$I,"&gt;0"))*AVERAGEIFS(Pagos!$G:$G,Pagos!$B:$B,A9)),0),0))</f>
        <v>30000</v>
      </c>
      <c r="H9">
        <f t="shared" ca="1" si="2"/>
        <v>330000</v>
      </c>
      <c r="I9">
        <f ca="1">IF(C9="INTERES_MENSUAL",SUMIFS(Calendario_Intereses!$G:$G,Calendario_Intereses!$A:$A,A9,Calendario_Intereses!$C:$C,"&lt;"&amp;TODAY()),IF(C9="CUOTA_FIJA",IFERROR(IF(MAX(0,MIN(VLOOKUP(A9,Creditos!$A:$N,7,FALSE),12*(YEAR(TODAY())-YEAR(VLOOKUP(A9,Creditos!$A:$N,3,FALSE)))+MONTH(TODAY())-MONTH(VLOOKUP(A9,Creditos!$A:$N,3,FALSE))-IF(DAY(TODAY())&lt;VLOOKUP(A9,Creditos!$A:$N,8,FALSE),1,0)))-COUNTIFS(Pagos!$B:$B,A9,Pagos!$I:$I,"&gt;0")&lt;=0,0,IF(MAX(0,MIN(VLOOKUP(A9,Creditos!$A:$N,7,FALSE),12*(YEAR(TODAY())-YEAR(VLOOKUP(A9,Creditos!$A:$N,3,FALSE)))+MONTH(TODAY())-MONTH(VLOOKUP(A9,Creditos!$A:$N,3,FALSE))-IF(DAY(TODAY())&lt;VLOOKUP(A9,Creditos!$A:$N,8,FALSE),1,0)))&gt;=VLOOKUP(A9,Creditos!$A:$N,7,FALSE),H9,(MAX(0,MIN(VLOOKUP(A9,Creditos!$A:$N,7,FALSE),12*(YEAR(TODAY())-YEAR(VLOOKUP(A9,Creditos!$A:$N,3,FALSE)))+MONTH(TODAY())-MONTH(VLOOKUP(A9,Creditos!$A:$N,3,FALSE))-IF(DAY(TODAY())&lt;VLOOKUP(A9,Creditos!$A:$N,8,FALSE),1,0)))-COUNTIFS(Pagos!$B:$B,A9,Pagos!$I:$I,"&gt;0"))*VLOOKUP(A9,Creditos!$A:$N,10,FALSE))),0),0))</f>
        <v>30000</v>
      </c>
      <c r="J9" t="str">
        <f t="shared" ca="1" si="0"/>
        <v>En mora</v>
      </c>
    </row>
    <row r="10" spans="1:12">
      <c r="A10" t="s">
        <v>53</v>
      </c>
      <c r="B10" t="s">
        <v>67</v>
      </c>
      <c r="C10" t="s">
        <v>73</v>
      </c>
      <c r="D10">
        <v>500000</v>
      </c>
      <c r="E10">
        <f>SUMIF(Pagos!B:B, A10, Pagos!H:H)</f>
        <v>300000</v>
      </c>
      <c r="F10">
        <f t="shared" si="1"/>
        <v>200000</v>
      </c>
      <c r="G10">
        <f ca="1">IF(C10="INTERES_MENSUAL",SUMIFS(Calendario_Intereses!$G:$G,Calendario_Intereses!$A:$A,A10),IF(C10="CUOTA_FIJA",IFERROR(MAX(0,(VLOOKUP(A10,Creditos!$A:$N,9,FALSE)-COUNTIFS(Pagos!$B:$B,A10,Pagos!$I:$I,"&gt;0"))*AVERAGEIFS(Pagos!$G:$G,Pagos!$B:$B,A10)),0),0))</f>
        <v>6000</v>
      </c>
      <c r="H10">
        <f t="shared" ca="1" si="2"/>
        <v>206000</v>
      </c>
      <c r="I10">
        <f ca="1">IF(C10="INTERES_MENSUAL",SUMIFS(Calendario_Intereses!$G:$G,Calendario_Intereses!$A:$A,A10,Calendario_Intereses!$C:$C,"&lt;"&amp;TODAY()),IF(C10="CUOTA_FIJA",IFERROR(IF(MAX(0,MIN(VLOOKUP(A10,Creditos!$A:$N,7,FALSE),12*(YEAR(TODAY())-YEAR(VLOOKUP(A10,Creditos!$A:$N,3,FALSE)))+MONTH(TODAY())-MONTH(VLOOKUP(A10,Creditos!$A:$N,3,FALSE))-IF(DAY(TODAY())&lt;VLOOKUP(A10,Creditos!$A:$N,8,FALSE),1,0)))-COUNTIFS(Pagos!$B:$B,A10,Pagos!$I:$I,"&gt;0")&lt;=0,0,IF(MAX(0,MIN(VLOOKUP(A10,Creditos!$A:$N,7,FALSE),12*(YEAR(TODAY())-YEAR(VLOOKUP(A10,Creditos!$A:$N,3,FALSE)))+MONTH(TODAY())-MONTH(VLOOKUP(A10,Creditos!$A:$N,3,FALSE))-IF(DAY(TODAY())&lt;VLOOKUP(A10,Creditos!$A:$N,8,FALSE),1,0)))&gt;=VLOOKUP(A10,Creditos!$A:$N,7,FALSE),H10,(MAX(0,MIN(VLOOKUP(A10,Creditos!$A:$N,7,FALSE),12*(YEAR(TODAY())-YEAR(VLOOKUP(A10,Creditos!$A:$N,3,FALSE)))+MONTH(TODAY())-MONTH(VLOOKUP(A10,Creditos!$A:$N,3,FALSE))-IF(DAY(TODAY())&lt;VLOOKUP(A10,Creditos!$A:$N,8,FALSE),1,0)))-COUNTIFS(Pagos!$B:$B,A10,Pagos!$I:$I,"&gt;0"))*VLOOKUP(A10,Creditos!$A:$N,10,FALSE))),0),0))</f>
        <v>6000</v>
      </c>
      <c r="J10" t="str">
        <f t="shared" ca="1" si="0"/>
        <v>En mora</v>
      </c>
    </row>
    <row r="11" spans="1:12">
      <c r="A11" t="s">
        <v>54</v>
      </c>
      <c r="B11" t="s">
        <v>68</v>
      </c>
      <c r="C11" t="s">
        <v>73</v>
      </c>
      <c r="D11">
        <v>2000000</v>
      </c>
      <c r="E11">
        <f>SUMIF(Pagos!B:B, A11, Pagos!H:H)</f>
        <v>0</v>
      </c>
      <c r="F11">
        <f t="shared" si="1"/>
        <v>2000000</v>
      </c>
      <c r="G11">
        <f ca="1">IF(C11="INTERES_MENSUAL",SUMIFS(Calendario_Intereses!$G:$G,Calendario_Intereses!$A:$A,A11),IF(C11="CUOTA_FIJA",IFERROR(MAX(0,(VLOOKUP(A11,Creditos!$A:$N,9,FALSE)-COUNTIFS(Pagos!$B:$B,A11,Pagos!$I:$I,"&gt;0"))*AVERAGEIFS(Pagos!$G:$G,Pagos!$B:$B,A11)),0),0))</f>
        <v>0</v>
      </c>
      <c r="H11">
        <f t="shared" ca="1" si="2"/>
        <v>2000000</v>
      </c>
      <c r="I11">
        <f ca="1">IF(C11="INTERES_MENSUAL",SUMIFS(Calendario_Intereses!$G:$G,Calendario_Intereses!$A:$A,A11,Calendario_Intereses!$C:$C,"&lt;"&amp;TODAY()),IF(C11="CUOTA_FIJA",IFERROR(IF(MAX(0,MIN(VLOOKUP(A11,Creditos!$A:$N,7,FALSE),12*(YEAR(TODAY())-YEAR(VLOOKUP(A11,Creditos!$A:$N,3,FALSE)))+MONTH(TODAY())-MONTH(VLOOKUP(A11,Creditos!$A:$N,3,FALSE))-IF(DAY(TODAY())&lt;VLOOKUP(A11,Creditos!$A:$N,8,FALSE),1,0)))-COUNTIFS(Pagos!$B:$B,A11,Pagos!$I:$I,"&gt;0")&lt;=0,0,IF(MAX(0,MIN(VLOOKUP(A11,Creditos!$A:$N,7,FALSE),12*(YEAR(TODAY())-YEAR(VLOOKUP(A11,Creditos!$A:$N,3,FALSE)))+MONTH(TODAY())-MONTH(VLOOKUP(A11,Creditos!$A:$N,3,FALSE))-IF(DAY(TODAY())&lt;VLOOKUP(A11,Creditos!$A:$N,8,FALSE),1,0)))&gt;=VLOOKUP(A11,Creditos!$A:$N,7,FALSE),H11,(MAX(0,MIN(VLOOKUP(A11,Creditos!$A:$N,7,FALSE),12*(YEAR(TODAY())-YEAR(VLOOKUP(A11,Creditos!$A:$N,3,FALSE)))+MONTH(TODAY())-MONTH(VLOOKUP(A11,Creditos!$A:$N,3,FALSE))-IF(DAY(TODAY())&lt;VLOOKUP(A11,Creditos!$A:$N,8,FALSE),1,0)))-COUNTIFS(Pagos!$B:$B,A11,Pagos!$I:$I,"&gt;0"))*VLOOKUP(A11,Creditos!$A:$N,10,FALSE))),0),0))</f>
        <v>0</v>
      </c>
      <c r="J11" t="str">
        <f t="shared" ca="1" si="0"/>
        <v>Al día</v>
      </c>
    </row>
    <row r="12" spans="1:12">
      <c r="A12" t="s">
        <v>55</v>
      </c>
      <c r="B12" t="s">
        <v>69</v>
      </c>
      <c r="C12" t="s">
        <v>74</v>
      </c>
      <c r="D12">
        <v>1300000</v>
      </c>
      <c r="E12">
        <f>SUMIF(Pagos!B:B, A12, Pagos!H:H)</f>
        <v>866664</v>
      </c>
      <c r="F12">
        <f t="shared" si="1"/>
        <v>433336</v>
      </c>
      <c r="G12">
        <f>IF(C12="INTERES_MENSUAL",SUMIFS(Calendario_Intereses!$G:$G,Calendario_Intereses!$A:$A,A12),IF(C12="CUOTA_FIJA",IFERROR(MAX(0,(VLOOKUP(A12,Creditos!$A:$N,9,FALSE)-COUNTIFS(Pagos!$B:$B,A12,Pagos!$I:$I,"&gt;0"))*AVERAGEIFS(Pagos!$G:$G,Pagos!$B:$B,A12)),0),0))</f>
        <v>84500</v>
      </c>
      <c r="H12">
        <f t="shared" si="2"/>
        <v>517836</v>
      </c>
      <c r="I12">
        <f ca="1">IF(C12="INTERES_MENSUAL",SUMIFS(Calendario_Intereses!$G:$G,Calendario_Intereses!$A:$A,A12,Calendario_Intereses!$C:$C,"&lt;"&amp;TODAY()),IF(C12="CUOTA_FIJA",IFERROR(IF(MAX(0,MIN(VLOOKUP(A12,Creditos!$A:$N,7,FALSE),12*(YEAR(TODAY())-YEAR(VLOOKUP(A12,Creditos!$A:$N,3,FALSE)))+MONTH(TODAY())-MONTH(VLOOKUP(A12,Creditos!$A:$N,3,FALSE))-IF(DAY(TODAY())&lt;VLOOKUP(A12,Creditos!$A:$N,8,FALSE),1,0)))-COUNTIFS(Pagos!$B:$B,A12,Pagos!$I:$I,"&gt;0")&lt;=0,0,IF(MAX(0,MIN(VLOOKUP(A12,Creditos!$A:$N,7,FALSE),12*(YEAR(TODAY())-YEAR(VLOOKUP(A12,Creditos!$A:$N,3,FALSE)))+MONTH(TODAY())-MONTH(VLOOKUP(A12,Creditos!$A:$N,3,FALSE))-IF(DAY(TODAY())&lt;VLOOKUP(A12,Creditos!$A:$N,8,FALSE),1,0)))&gt;=VLOOKUP(A12,Creditos!$A:$N,7,FALSE),H12,(MAX(0,MIN(VLOOKUP(A12,Creditos!$A:$N,7,FALSE),12*(YEAR(TODAY())-YEAR(VLOOKUP(A12,Creditos!$A:$N,3,FALSE)))+MONTH(TODAY())-MONTH(VLOOKUP(A12,Creditos!$A:$N,3,FALSE))-IF(DAY(TODAY())&lt;VLOOKUP(A12,Creditos!$A:$N,8,FALSE),1,0)))-COUNTIFS(Pagos!$B:$B,A12,Pagos!$I:$I,"&gt;0"))*VLOOKUP(A12,Creditos!$A:$N,10,FALSE))),0),0))</f>
        <v>517836</v>
      </c>
      <c r="J12" t="str">
        <f t="shared" ca="1" si="0"/>
        <v>En mora</v>
      </c>
    </row>
    <row r="13" spans="1:12">
      <c r="A13" t="s">
        <v>56</v>
      </c>
      <c r="B13" t="s">
        <v>70</v>
      </c>
      <c r="C13" t="s">
        <v>73</v>
      </c>
      <c r="D13">
        <v>1500000</v>
      </c>
      <c r="E13">
        <f>SUMIF(Pagos!B:B, A13, Pagos!H:H)</f>
        <v>0</v>
      </c>
      <c r="F13">
        <f t="shared" si="1"/>
        <v>1500000</v>
      </c>
      <c r="G13">
        <f ca="1">IF(C13="INTERES_MENSUAL",SUMIFS(Calendario_Intereses!$G:$G,Calendario_Intereses!$A:$A,A13),IF(C13="CUOTA_FIJA",IFERROR(MAX(0,(VLOOKUP(A13,Creditos!$A:$N,9,FALSE)-COUNTIFS(Pagos!$B:$B,A13,Pagos!$I:$I,"&gt;0"))*AVERAGEIFS(Pagos!$G:$G,Pagos!$B:$B,A13)),0),0))</f>
        <v>45000</v>
      </c>
      <c r="H13">
        <f t="shared" ca="1" si="2"/>
        <v>1545000</v>
      </c>
      <c r="I13">
        <f ca="1">IF(C13="INTERES_MENSUAL",SUMIFS(Calendario_Intereses!$G:$G,Calendario_Intereses!$A:$A,A13,Calendario_Intereses!$C:$C,"&lt;"&amp;TODAY()),IF(C13="CUOTA_FIJA",IFERROR(IF(MAX(0,MIN(VLOOKUP(A13,Creditos!$A:$N,7,FALSE),12*(YEAR(TODAY())-YEAR(VLOOKUP(A13,Creditos!$A:$N,3,FALSE)))+MONTH(TODAY())-MONTH(VLOOKUP(A13,Creditos!$A:$N,3,FALSE))-IF(DAY(TODAY())&lt;VLOOKUP(A13,Creditos!$A:$N,8,FALSE),1,0)))-COUNTIFS(Pagos!$B:$B,A13,Pagos!$I:$I,"&gt;0")&lt;=0,0,IF(MAX(0,MIN(VLOOKUP(A13,Creditos!$A:$N,7,FALSE),12*(YEAR(TODAY())-YEAR(VLOOKUP(A13,Creditos!$A:$N,3,FALSE)))+MONTH(TODAY())-MONTH(VLOOKUP(A13,Creditos!$A:$N,3,FALSE))-IF(DAY(TODAY())&lt;VLOOKUP(A13,Creditos!$A:$N,8,FALSE),1,0)))&gt;=VLOOKUP(A13,Creditos!$A:$N,7,FALSE),H13,(MAX(0,MIN(VLOOKUP(A13,Creditos!$A:$N,7,FALSE),12*(YEAR(TODAY())-YEAR(VLOOKUP(A13,Creditos!$A:$N,3,FALSE)))+MONTH(TODAY())-MONTH(VLOOKUP(A13,Creditos!$A:$N,3,FALSE))-IF(DAY(TODAY())&lt;VLOOKUP(A13,Creditos!$A:$N,8,FALSE),1,0)))-COUNTIFS(Pagos!$B:$B,A13,Pagos!$I:$I,"&gt;0"))*VLOOKUP(A13,Creditos!$A:$N,10,FALSE))),0),0))</f>
        <v>45000</v>
      </c>
      <c r="J13" t="str">
        <f t="shared" ca="1" si="0"/>
        <v>En mora</v>
      </c>
    </row>
    <row r="14" spans="1:12">
      <c r="A14" t="s">
        <v>57</v>
      </c>
      <c r="B14" t="s">
        <v>71</v>
      </c>
      <c r="C14" t="s">
        <v>74</v>
      </c>
      <c r="D14">
        <v>1000000</v>
      </c>
      <c r="E14">
        <f>SUMIF(Pagos!B:B, A14, Pagos!H:H)</f>
        <v>0</v>
      </c>
      <c r="F14">
        <f t="shared" si="1"/>
        <v>1000000</v>
      </c>
      <c r="G14">
        <f>IF(C14="INTERES_MENSUAL",SUMIFS(Calendario_Intereses!$G:$G,Calendario_Intereses!$A:$A,A14),IF(C14="CUOTA_FIJA",IFERROR(MAX(0,(VLOOKUP(A14,Creditos!$A:$N,9,FALSE)-COUNTIFS(Pagos!$B:$B,A14,Pagos!$I:$I,"&gt;0"))*AVERAGEIFS(Pagos!$G:$G,Pagos!$B:$B,A14)),0),0))</f>
        <v>0</v>
      </c>
      <c r="H14">
        <f t="shared" si="2"/>
        <v>1000000</v>
      </c>
      <c r="I14">
        <f ca="1">IF(C14="INTERES_MENSUAL",SUMIFS(Calendario_Intereses!$G:$G,Calendario_Intereses!$A:$A,A14,Calendario_Intereses!$C:$C,"&lt;"&amp;TODAY()),IF(C14="CUOTA_FIJA",IFERROR(IF(MAX(0,MIN(VLOOKUP(A14,Creditos!$A:$N,7,FALSE),12*(YEAR(TODAY())-YEAR(VLOOKUP(A14,Creditos!$A:$N,3,FALSE)))+MONTH(TODAY())-MONTH(VLOOKUP(A14,Creditos!$A:$N,3,FALSE))-IF(DAY(TODAY())&lt;VLOOKUP(A14,Creditos!$A:$N,8,FALSE),1,0)))-COUNTIFS(Pagos!$B:$B,A14,Pagos!$I:$I,"&gt;0")&lt;=0,0,IF(MAX(0,MIN(VLOOKUP(A14,Creditos!$A:$N,7,FALSE),12*(YEAR(TODAY())-YEAR(VLOOKUP(A14,Creditos!$A:$N,3,FALSE)))+MONTH(TODAY())-MONTH(VLOOKUP(A14,Creditos!$A:$N,3,FALSE))-IF(DAY(TODAY())&lt;VLOOKUP(A14,Creditos!$A:$N,8,FALSE),1,0)))&gt;=VLOOKUP(A14,Creditos!$A:$N,7,FALSE),H14,(MAX(0,MIN(VLOOKUP(A14,Creditos!$A:$N,7,FALSE),12*(YEAR(TODAY())-YEAR(VLOOKUP(A14,Creditos!$A:$N,3,FALSE)))+MONTH(TODAY())-MONTH(VLOOKUP(A14,Creditos!$A:$N,3,FALSE))-IF(DAY(TODAY())&lt;VLOOKUP(A14,Creditos!$A:$N,8,FALSE),1,0)))-COUNTIFS(Pagos!$B:$B,A14,Pagos!$I:$I,"&gt;0"))*VLOOKUP(A14,Creditos!$A:$N,10,FALSE))),0),0))</f>
        <v>0</v>
      </c>
      <c r="J14" t="str">
        <f t="shared" ca="1" si="0"/>
        <v>Al día</v>
      </c>
    </row>
    <row r="15" spans="1:12">
      <c r="A15" t="s">
        <v>58</v>
      </c>
      <c r="B15" t="s">
        <v>72</v>
      </c>
      <c r="C15" t="s">
        <v>74</v>
      </c>
      <c r="D15">
        <v>1000000</v>
      </c>
      <c r="E15">
        <f>SUMIF(Pagos!B:B, A15, Pagos!H:H)</f>
        <v>0</v>
      </c>
      <c r="F15">
        <f t="shared" si="1"/>
        <v>1000000</v>
      </c>
      <c r="G15">
        <f>IF(C15="INTERES_MENSUAL",SUMIFS(Calendario_Intereses!$G:$G,Calendario_Intereses!$A:$A,A15),IF(C15="CUOTA_FIJA",IFERROR(MAX(0,(VLOOKUP(A15,Creditos!$A:$N,9,FALSE)-COUNTIFS(Pagos!$B:$B,A15,Pagos!$I:$I,"&gt;0"))*AVERAGEIFS(Pagos!$G:$G,Pagos!$B:$B,A15)),0),0))</f>
        <v>0</v>
      </c>
      <c r="H15">
        <f t="shared" si="2"/>
        <v>1000000</v>
      </c>
      <c r="I15">
        <f ca="1">IF(C15="INTERES_MENSUAL",SUMIFS(Calendario_Intereses!$G:$G,Calendario_Intereses!$A:$A,A15,Calendario_Intereses!$C:$C,"&lt;"&amp;TODAY()),IF(C15="CUOTA_FIJA",IFERROR(IF(MAX(0,MIN(VLOOKUP(A15,Creditos!$A:$N,7,FALSE),12*(YEAR(TODAY())-YEAR(VLOOKUP(A15,Creditos!$A:$N,3,FALSE)))+MONTH(TODAY())-MONTH(VLOOKUP(A15,Creditos!$A:$N,3,FALSE))-IF(DAY(TODAY())&lt;VLOOKUP(A15,Creditos!$A:$N,8,FALSE),1,0)))-COUNTIFS(Pagos!$B:$B,A15,Pagos!$I:$I,"&gt;0")&lt;=0,0,IF(MAX(0,MIN(VLOOKUP(A15,Creditos!$A:$N,7,FALSE),12*(YEAR(TODAY())-YEAR(VLOOKUP(A15,Creditos!$A:$N,3,FALSE)))+MONTH(TODAY())-MONTH(VLOOKUP(A15,Creditos!$A:$N,3,FALSE))-IF(DAY(TODAY())&lt;VLOOKUP(A15,Creditos!$A:$N,8,FALSE),1,0)))&gt;=VLOOKUP(A15,Creditos!$A:$N,7,FALSE),H15,(MAX(0,MIN(VLOOKUP(A15,Creditos!$A:$N,7,FALSE),12*(YEAR(TODAY())-YEAR(VLOOKUP(A15,Creditos!$A:$N,3,FALSE)))+MONTH(TODAY())-MONTH(VLOOKUP(A15,Creditos!$A:$N,3,FALSE))-IF(DAY(TODAY())&lt;VLOOKUP(A15,Creditos!$A:$N,8,FALSE),1,0)))-COUNTIFS(Pagos!$B:$B,A15,Pagos!$I:$I,"&gt;0"))*VLOOKUP(A15,Creditos!$A:$N,10,FALSE))),0),0))</f>
        <v>0</v>
      </c>
      <c r="J15" t="str">
        <f t="shared" ca="1" si="0"/>
        <v>Al día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63231-9C5C-466A-9D21-B6749EBE725B}">
  <dimension ref="A1:G63"/>
  <sheetViews>
    <sheetView topLeftCell="A28" workbookViewId="0">
      <selection sqref="A1:G63"/>
    </sheetView>
  </sheetViews>
  <sheetFormatPr baseColWidth="10" defaultRowHeight="15"/>
  <cols>
    <col min="1" max="1" width="12.140625" customWidth="1"/>
    <col min="2" max="2" width="10.28515625" bestFit="1" customWidth="1"/>
    <col min="3" max="3" width="22.85546875" customWidth="1"/>
    <col min="4" max="4" width="18.85546875" customWidth="1"/>
    <col min="5" max="5" width="20.42578125" customWidth="1"/>
    <col min="6" max="6" width="16.85546875" customWidth="1"/>
    <col min="7" max="7" width="19.7109375" customWidth="1"/>
  </cols>
  <sheetData>
    <row r="1" spans="1:7">
      <c r="A1" t="s">
        <v>33</v>
      </c>
      <c r="B1" t="s">
        <v>165</v>
      </c>
      <c r="C1" t="s">
        <v>166</v>
      </c>
      <c r="D1" t="s">
        <v>167</v>
      </c>
      <c r="E1" t="s">
        <v>168</v>
      </c>
      <c r="F1" t="s">
        <v>169</v>
      </c>
      <c r="G1" t="s">
        <v>161</v>
      </c>
    </row>
    <row r="2" spans="1:7">
      <c r="A2" t="s">
        <v>45</v>
      </c>
      <c r="B2">
        <v>1</v>
      </c>
      <c r="C2" s="1">
        <f>EDATE(VLOOKUP(A2,Creditos!$A:$N,3,FALSE),B2)</f>
        <v>46166</v>
      </c>
      <c r="D2">
        <f>VLOOKUP(A2,Creditos!$A:$N,5,FALSE)-SUMIFS(Pagos!$H:$H,Pagos!$B:$B,A2,Pagos!$D:$D,"&lt;"&amp;DATE(YEAR(C2),MONTH(C2),1))</f>
        <v>3000000</v>
      </c>
      <c r="E2">
        <f>D2*VLOOKUP(A2,Creditos!$A:$N,6,FALSE)</f>
        <v>90000</v>
      </c>
      <c r="F2">
        <f ca="1">MIN(E2,MAX(0,SUMIFS(Pagos!$G:$G,Pagos!$B:$B,A2,Pagos!$D:$D,"&lt;="&amp;TODAY())-SUMIFS($E:$E,$A:$A,A2,$B:$B,"&lt;"&amp;B2)))</f>
        <v>90000</v>
      </c>
      <c r="G2">
        <f t="shared" ref="G2:G33" ca="1" si="0">MAX(0,E2-F2)</f>
        <v>0</v>
      </c>
    </row>
    <row r="3" spans="1:7">
      <c r="A3" t="s">
        <v>45</v>
      </c>
      <c r="B3">
        <v>2</v>
      </c>
      <c r="C3" s="1">
        <f>EDATE(VLOOKUP(A3,Creditos!$A:$N,3,FALSE),B3)</f>
        <v>46197</v>
      </c>
      <c r="D3">
        <f>VLOOKUP(A3,Creditos!$A:$N,5,FALSE)-SUMIFS(Pagos!$H:$H,Pagos!$B:$B,A3,Pagos!$D:$D,"&lt;"&amp;DATE(YEAR(C3),MONTH(C3),1))</f>
        <v>3000000</v>
      </c>
      <c r="E3">
        <f>D3*VLOOKUP(A3,Creditos!$A:$N,6,FALSE)</f>
        <v>90000</v>
      </c>
      <c r="F3">
        <f ca="1">MIN(E3,MAX(0,SUMIFS(Pagos!$G:$G,Pagos!$B:$B,A3,Pagos!$D:$D,"&lt;="&amp;TODAY())-SUMIFS($E:$E,$A:$A,A3,$B:$B,"&lt;"&amp;B3)))</f>
        <v>90000</v>
      </c>
      <c r="G3">
        <f t="shared" ca="1" si="0"/>
        <v>0</v>
      </c>
    </row>
    <row r="4" spans="1:7">
      <c r="A4" t="s">
        <v>45</v>
      </c>
      <c r="B4">
        <v>3</v>
      </c>
      <c r="C4" s="1">
        <f>EDATE(VLOOKUP(A4,Creditos!$A:$N,3,FALSE),B4)</f>
        <v>46227</v>
      </c>
      <c r="D4">
        <f>VLOOKUP(A4,Creditos!$A:$N,5,FALSE)-SUMIFS(Pagos!$H:$H,Pagos!$B:$B,A4,Pagos!$D:$D,"&lt;"&amp;DATE(YEAR(C4),MONTH(C4),1))</f>
        <v>3000000</v>
      </c>
      <c r="E4">
        <f>D4*VLOOKUP(A4,Creditos!$A:$N,6,FALSE)</f>
        <v>90000</v>
      </c>
      <c r="F4">
        <f ca="1">MIN(E4,MAX(0,SUMIFS(Pagos!$G:$G,Pagos!$B:$B,A4,Pagos!$D:$D,"&lt;="&amp;TODAY())-SUMIFS($E:$E,$A:$A,A4,$B:$B,"&lt;"&amp;B4)))</f>
        <v>90000</v>
      </c>
      <c r="G4">
        <f t="shared" ca="1" si="0"/>
        <v>0</v>
      </c>
    </row>
    <row r="5" spans="1:7">
      <c r="A5" t="s">
        <v>45</v>
      </c>
      <c r="B5">
        <v>4</v>
      </c>
      <c r="C5" s="1">
        <f>EDATE(VLOOKUP(A5,Creditos!$A:$N,3,FALSE),B5)</f>
        <v>46258</v>
      </c>
      <c r="D5">
        <f>VLOOKUP(A5,Creditos!$A:$N,5,FALSE)-SUMIFS(Pagos!$H:$H,Pagos!$B:$B,A5,Pagos!$D:$D,"&lt;"&amp;DATE(YEAR(C5),MONTH(C5),1))</f>
        <v>3000000</v>
      </c>
      <c r="E5">
        <f>D5*VLOOKUP(A5,Creditos!$A:$N,6,FALSE)</f>
        <v>90000</v>
      </c>
      <c r="F5">
        <f ca="1">MIN(E5,MAX(0,SUMIFS(Pagos!$G:$G,Pagos!$B:$B,A5,Pagos!$D:$D,"&lt;="&amp;TODAY())-SUMIFS($E:$E,$A:$A,A5,$B:$B,"&lt;"&amp;B5)))</f>
        <v>0</v>
      </c>
      <c r="G5">
        <f t="shared" ca="1" si="0"/>
        <v>90000</v>
      </c>
    </row>
    <row r="6" spans="1:7">
      <c r="A6" t="s">
        <v>46</v>
      </c>
      <c r="B6">
        <v>1</v>
      </c>
      <c r="C6" s="1">
        <f>EDATE(VLOOKUP(A6,Creditos!$A:$N,3,FALSE),B6)</f>
        <v>46031</v>
      </c>
      <c r="D6">
        <f>VLOOKUP(A6,Creditos!$A:$N,5,FALSE)-SUMIFS(Pagos!$H:$H,Pagos!$B:$B,A6,Pagos!$D:$D,"&lt;"&amp;DATE(YEAR(C6),MONTH(C6),1))</f>
        <v>2000000</v>
      </c>
      <c r="E6">
        <f>D6*VLOOKUP(A6,Creditos!$A:$N,6,FALSE)</f>
        <v>60000</v>
      </c>
      <c r="F6">
        <f ca="1">MIN(E6,MAX(0,SUMIFS(Pagos!$G:$G,Pagos!$B:$B,A6,Pagos!$D:$D,"&lt;="&amp;TODAY())-SUMIFS($E:$E,$A:$A,A6,$B:$B,"&lt;"&amp;B6)))</f>
        <v>60000</v>
      </c>
      <c r="G6">
        <f t="shared" ca="1" si="0"/>
        <v>0</v>
      </c>
    </row>
    <row r="7" spans="1:7">
      <c r="A7" t="s">
        <v>46</v>
      </c>
      <c r="B7">
        <v>2</v>
      </c>
      <c r="C7" s="1">
        <f>EDATE(VLOOKUP(A7,Creditos!$A:$N,3,FALSE),B7)</f>
        <v>46062</v>
      </c>
      <c r="D7">
        <f>VLOOKUP(A7,Creditos!$A:$N,5,FALSE)-SUMIFS(Pagos!$H:$H,Pagos!$B:$B,A7,Pagos!$D:$D,"&lt;"&amp;DATE(YEAR(C7),MONTH(C7),1))</f>
        <v>2000000</v>
      </c>
      <c r="E7">
        <f>D7*VLOOKUP(A7,Creditos!$A:$N,6,FALSE)</f>
        <v>60000</v>
      </c>
      <c r="F7">
        <f ca="1">MIN(E7,MAX(0,SUMIFS(Pagos!$G:$G,Pagos!$B:$B,A7,Pagos!$D:$D,"&lt;="&amp;TODAY())-SUMIFS($E:$E,$A:$A,A7,$B:$B,"&lt;"&amp;B7)))</f>
        <v>60000</v>
      </c>
      <c r="G7">
        <f t="shared" ca="1" si="0"/>
        <v>0</v>
      </c>
    </row>
    <row r="8" spans="1:7">
      <c r="A8" t="s">
        <v>46</v>
      </c>
      <c r="B8">
        <v>3</v>
      </c>
      <c r="C8" s="1">
        <f>EDATE(VLOOKUP(A8,Creditos!$A:$N,3,FALSE),B8)</f>
        <v>46090</v>
      </c>
      <c r="D8">
        <f>VLOOKUP(A8,Creditos!$A:$N,5,FALSE)-SUMIFS(Pagos!$H:$H,Pagos!$B:$B,A8,Pagos!$D:$D,"&lt;"&amp;DATE(YEAR(C8),MONTH(C8),1))</f>
        <v>2000000</v>
      </c>
      <c r="E8">
        <f>D8*VLOOKUP(A8,Creditos!$A:$N,6,FALSE)</f>
        <v>60000</v>
      </c>
      <c r="F8">
        <f ca="1">MIN(E8,MAX(0,SUMIFS(Pagos!$G:$G,Pagos!$B:$B,A8,Pagos!$D:$D,"&lt;="&amp;TODAY())-SUMIFS($E:$E,$A:$A,A8,$B:$B,"&lt;"&amp;B8)))</f>
        <v>60000</v>
      </c>
      <c r="G8">
        <f t="shared" ca="1" si="0"/>
        <v>0</v>
      </c>
    </row>
    <row r="9" spans="1:7">
      <c r="A9" t="s">
        <v>46</v>
      </c>
      <c r="B9">
        <v>4</v>
      </c>
      <c r="C9" s="1">
        <f>EDATE(VLOOKUP(A9,Creditos!$A:$N,3,FALSE),B9)</f>
        <v>46121</v>
      </c>
      <c r="D9">
        <f>VLOOKUP(A9,Creditos!$A:$N,5,FALSE)-SUMIFS(Pagos!$H:$H,Pagos!$B:$B,A9,Pagos!$D:$D,"&lt;"&amp;DATE(YEAR(C9),MONTH(C9),1))</f>
        <v>2000000</v>
      </c>
      <c r="E9">
        <f>D9*VLOOKUP(A9,Creditos!$A:$N,6,FALSE)</f>
        <v>60000</v>
      </c>
      <c r="F9">
        <f ca="1">MIN(E9,MAX(0,SUMIFS(Pagos!$G:$G,Pagos!$B:$B,A9,Pagos!$D:$D,"&lt;="&amp;TODAY())-SUMIFS($E:$E,$A:$A,A9,$B:$B,"&lt;"&amp;B9)))</f>
        <v>60000</v>
      </c>
      <c r="G9">
        <f t="shared" ca="1" si="0"/>
        <v>0</v>
      </c>
    </row>
    <row r="10" spans="1:7">
      <c r="A10" t="s">
        <v>46</v>
      </c>
      <c r="B10">
        <v>5</v>
      </c>
      <c r="C10" s="1">
        <f>EDATE(VLOOKUP(A10,Creditos!$A:$N,3,FALSE),B10)</f>
        <v>46151</v>
      </c>
      <c r="D10">
        <f>VLOOKUP(A10,Creditos!$A:$N,5,FALSE)-SUMIFS(Pagos!$H:$H,Pagos!$B:$B,A10,Pagos!$D:$D,"&lt;"&amp;DATE(YEAR(C10),MONTH(C10),1))</f>
        <v>2000000</v>
      </c>
      <c r="E10">
        <f>D10*VLOOKUP(A10,Creditos!$A:$N,6,FALSE)</f>
        <v>60000</v>
      </c>
      <c r="F10">
        <f ca="1">MIN(E10,MAX(0,SUMIFS(Pagos!$G:$G,Pagos!$B:$B,A10,Pagos!$D:$D,"&lt;="&amp;TODAY())-SUMIFS($E:$E,$A:$A,A10,$B:$B,"&lt;"&amp;B10)))</f>
        <v>60000</v>
      </c>
      <c r="G10">
        <f t="shared" ca="1" si="0"/>
        <v>0</v>
      </c>
    </row>
    <row r="11" spans="1:7">
      <c r="A11" t="s">
        <v>46</v>
      </c>
      <c r="B11">
        <v>6</v>
      </c>
      <c r="C11" s="1">
        <f>EDATE(VLOOKUP(A11,Creditos!$A:$N,3,FALSE),B11)</f>
        <v>46182</v>
      </c>
      <c r="D11">
        <f>VLOOKUP(A11,Creditos!$A:$N,5,FALSE)-SUMIFS(Pagos!$H:$H,Pagos!$B:$B,A11,Pagos!$D:$D,"&lt;"&amp;DATE(YEAR(C11),MONTH(C11),1))</f>
        <v>2000000</v>
      </c>
      <c r="E11">
        <f>D11*VLOOKUP(A11,Creditos!$A:$N,6,FALSE)</f>
        <v>60000</v>
      </c>
      <c r="F11">
        <f ca="1">MIN(E11,MAX(0,SUMIFS(Pagos!$G:$G,Pagos!$B:$B,A11,Pagos!$D:$D,"&lt;="&amp;TODAY())-SUMIFS($E:$E,$A:$A,A11,$B:$B,"&lt;"&amp;B11)))</f>
        <v>60000</v>
      </c>
      <c r="G11">
        <f t="shared" ca="1" si="0"/>
        <v>0</v>
      </c>
    </row>
    <row r="12" spans="1:7">
      <c r="A12" t="s">
        <v>46</v>
      </c>
      <c r="B12">
        <v>7</v>
      </c>
      <c r="C12" s="1">
        <f>EDATE(VLOOKUP(A12,Creditos!$A:$N,3,FALSE),B12)</f>
        <v>46212</v>
      </c>
      <c r="D12">
        <f>VLOOKUP(A12,Creditos!$A:$N,5,FALSE)-SUMIFS(Pagos!$H:$H,Pagos!$B:$B,A12,Pagos!$D:$D,"&lt;"&amp;DATE(YEAR(C12),MONTH(C12),1))</f>
        <v>2000000</v>
      </c>
      <c r="E12">
        <f>D12*VLOOKUP(A12,Creditos!$A:$N,6,FALSE)</f>
        <v>60000</v>
      </c>
      <c r="F12">
        <f ca="1">MIN(E12,MAX(0,SUMIFS(Pagos!$G:$G,Pagos!$B:$B,A12,Pagos!$D:$D,"&lt;="&amp;TODAY())-SUMIFS($E:$E,$A:$A,A12,$B:$B,"&lt;"&amp;B12)))</f>
        <v>60000</v>
      </c>
      <c r="G12">
        <f t="shared" ca="1" si="0"/>
        <v>0</v>
      </c>
    </row>
    <row r="13" spans="1:7">
      <c r="A13" t="s">
        <v>46</v>
      </c>
      <c r="B13">
        <v>8</v>
      </c>
      <c r="C13" s="1">
        <f>EDATE(VLOOKUP(A13,Creditos!$A:$N,3,FALSE),B13)</f>
        <v>46243</v>
      </c>
      <c r="D13">
        <f>VLOOKUP(A13,Creditos!$A:$N,5,FALSE)-SUMIFS(Pagos!$H:$H,Pagos!$B:$B,A13,Pagos!$D:$D,"&lt;"&amp;DATE(YEAR(C13),MONTH(C13),1))</f>
        <v>2000000</v>
      </c>
      <c r="E13">
        <f>D13*VLOOKUP(A13,Creditos!$A:$N,6,FALSE)</f>
        <v>60000</v>
      </c>
      <c r="F13">
        <f ca="1">MIN(E13,MAX(0,SUMIFS(Pagos!$G:$G,Pagos!$B:$B,A13,Pagos!$D:$D,"&lt;="&amp;TODAY())-SUMIFS($E:$E,$A:$A,A13,$B:$B,"&lt;"&amp;B13)))</f>
        <v>60000</v>
      </c>
      <c r="G13">
        <f t="shared" ca="1" si="0"/>
        <v>0</v>
      </c>
    </row>
    <row r="14" spans="1:7">
      <c r="A14" t="s">
        <v>47</v>
      </c>
      <c r="B14">
        <v>1</v>
      </c>
      <c r="C14" s="1">
        <f>EDATE(VLOOKUP(A14,Creditos!$A:$N,3,FALSE),B14)</f>
        <v>45998</v>
      </c>
      <c r="D14">
        <f>VLOOKUP(A14,Creditos!$A:$N,5,FALSE)-SUMIFS(Pagos!$H:$H,Pagos!$B:$B,A14,Pagos!$D:$D,"&lt;"&amp;DATE(YEAR(C14),MONTH(C14),1))</f>
        <v>400000</v>
      </c>
      <c r="E14">
        <f>D14*VLOOKUP(A14,Creditos!$A:$N,6,FALSE)</f>
        <v>12000</v>
      </c>
      <c r="F14">
        <f ca="1">MIN(E14,MAX(0,SUMIFS(Pagos!$G:$G,Pagos!$B:$B,A14,Pagos!$D:$D,"&lt;="&amp;TODAY())-SUMIFS($E:$E,$A:$A,A14,$B:$B,"&lt;"&amp;B14)))</f>
        <v>12000</v>
      </c>
      <c r="G14">
        <f t="shared" ca="1" si="0"/>
        <v>0</v>
      </c>
    </row>
    <row r="15" spans="1:7">
      <c r="A15" t="s">
        <v>47</v>
      </c>
      <c r="B15">
        <v>2</v>
      </c>
      <c r="C15" s="1">
        <f>EDATE(VLOOKUP(A15,Creditos!$A:$N,3,FALSE),B15)</f>
        <v>46029</v>
      </c>
      <c r="D15">
        <f>VLOOKUP(A15,Creditos!$A:$N,5,FALSE)-SUMIFS(Pagos!$H:$H,Pagos!$B:$B,A15,Pagos!$D:$D,"&lt;"&amp;DATE(YEAR(C15),MONTH(C15),1))</f>
        <v>400000</v>
      </c>
      <c r="E15">
        <f>D15*VLOOKUP(A15,Creditos!$A:$N,6,FALSE)</f>
        <v>12000</v>
      </c>
      <c r="F15">
        <f ca="1">MIN(E15,MAX(0,SUMIFS(Pagos!$G:$G,Pagos!$B:$B,A15,Pagos!$D:$D,"&lt;="&amp;TODAY())-SUMIFS($E:$E,$A:$A,A15,$B:$B,"&lt;"&amp;B15)))</f>
        <v>12000</v>
      </c>
      <c r="G15">
        <f t="shared" ca="1" si="0"/>
        <v>0</v>
      </c>
    </row>
    <row r="16" spans="1:7">
      <c r="A16" t="s">
        <v>47</v>
      </c>
      <c r="B16">
        <v>3</v>
      </c>
      <c r="C16" s="1">
        <f>EDATE(VLOOKUP(A16,Creditos!$A:$N,3,FALSE),B16)</f>
        <v>46060</v>
      </c>
      <c r="D16">
        <f>VLOOKUP(A16,Creditos!$A:$N,5,FALSE)-SUMIFS(Pagos!$H:$H,Pagos!$B:$B,A16,Pagos!$D:$D,"&lt;"&amp;DATE(YEAR(C16),MONTH(C16),1))</f>
        <v>400000</v>
      </c>
      <c r="E16">
        <f>D16*VLOOKUP(A16,Creditos!$A:$N,6,FALSE)</f>
        <v>12000</v>
      </c>
      <c r="F16">
        <f ca="1">MIN(E16,MAX(0,SUMIFS(Pagos!$G:$G,Pagos!$B:$B,A16,Pagos!$D:$D,"&lt;="&amp;TODAY())-SUMIFS($E:$E,$A:$A,A16,$B:$B,"&lt;"&amp;B16)))</f>
        <v>12000</v>
      </c>
      <c r="G16">
        <f t="shared" ca="1" si="0"/>
        <v>0</v>
      </c>
    </row>
    <row r="17" spans="1:7">
      <c r="A17" t="s">
        <v>47</v>
      </c>
      <c r="B17">
        <v>4</v>
      </c>
      <c r="C17" s="1">
        <f>EDATE(VLOOKUP(A17,Creditos!$A:$N,3,FALSE),B17)</f>
        <v>46088</v>
      </c>
      <c r="D17">
        <f>VLOOKUP(A17,Creditos!$A:$N,5,FALSE)-SUMIFS(Pagos!$H:$H,Pagos!$B:$B,A17,Pagos!$D:$D,"&lt;"&amp;DATE(YEAR(C17),MONTH(C17),1))</f>
        <v>400000</v>
      </c>
      <c r="E17">
        <f>D17*VLOOKUP(A17,Creditos!$A:$N,6,FALSE)</f>
        <v>12000</v>
      </c>
      <c r="F17">
        <f ca="1">MIN(E17,MAX(0,SUMIFS(Pagos!$G:$G,Pagos!$B:$B,A17,Pagos!$D:$D,"&lt;="&amp;TODAY())-SUMIFS($E:$E,$A:$A,A17,$B:$B,"&lt;"&amp;B17)))</f>
        <v>12000</v>
      </c>
      <c r="G17">
        <f t="shared" ca="1" si="0"/>
        <v>0</v>
      </c>
    </row>
    <row r="18" spans="1:7">
      <c r="A18" t="s">
        <v>47</v>
      </c>
      <c r="B18">
        <v>5</v>
      </c>
      <c r="C18" s="1">
        <f>EDATE(VLOOKUP(A18,Creditos!$A:$N,3,FALSE),B18)</f>
        <v>46119</v>
      </c>
      <c r="D18">
        <f>VLOOKUP(A18,Creditos!$A:$N,5,FALSE)-SUMIFS(Pagos!$H:$H,Pagos!$B:$B,A18,Pagos!$D:$D,"&lt;"&amp;DATE(YEAR(C18),MONTH(C18),1))</f>
        <v>400000</v>
      </c>
      <c r="E18">
        <f>D18*VLOOKUP(A18,Creditos!$A:$N,6,FALSE)</f>
        <v>12000</v>
      </c>
      <c r="F18">
        <f ca="1">MIN(E18,MAX(0,SUMIFS(Pagos!$G:$G,Pagos!$B:$B,A18,Pagos!$D:$D,"&lt;="&amp;TODAY())-SUMIFS($E:$E,$A:$A,A18,$B:$B,"&lt;"&amp;B18)))</f>
        <v>12000</v>
      </c>
      <c r="G18">
        <f t="shared" ca="1" si="0"/>
        <v>0</v>
      </c>
    </row>
    <row r="19" spans="1:7">
      <c r="A19" t="s">
        <v>47</v>
      </c>
      <c r="B19">
        <v>6</v>
      </c>
      <c r="C19" s="1">
        <f>EDATE(VLOOKUP(A19,Creditos!$A:$N,3,FALSE),B19)</f>
        <v>46149</v>
      </c>
      <c r="D19">
        <f>VLOOKUP(A19,Creditos!$A:$N,5,FALSE)-SUMIFS(Pagos!$H:$H,Pagos!$B:$B,A19,Pagos!$D:$D,"&lt;"&amp;DATE(YEAR(C19),MONTH(C19),1))</f>
        <v>400000</v>
      </c>
      <c r="E19">
        <f>D19*VLOOKUP(A19,Creditos!$A:$N,6,FALSE)</f>
        <v>12000</v>
      </c>
      <c r="F19">
        <f ca="1">MIN(E19,MAX(0,SUMIFS(Pagos!$G:$G,Pagos!$B:$B,A19,Pagos!$D:$D,"&lt;="&amp;TODAY())-SUMIFS($E:$E,$A:$A,A19,$B:$B,"&lt;"&amp;B19)))</f>
        <v>12000</v>
      </c>
      <c r="G19">
        <f t="shared" ca="1" si="0"/>
        <v>0</v>
      </c>
    </row>
    <row r="20" spans="1:7">
      <c r="A20" t="s">
        <v>47</v>
      </c>
      <c r="B20">
        <v>7</v>
      </c>
      <c r="C20" s="1">
        <f>EDATE(VLOOKUP(A20,Creditos!$A:$N,3,FALSE),B20)</f>
        <v>46180</v>
      </c>
      <c r="D20">
        <f>VLOOKUP(A20,Creditos!$A:$N,5,FALSE)-SUMIFS(Pagos!$H:$H,Pagos!$B:$B,A20,Pagos!$D:$D,"&lt;"&amp;DATE(YEAR(C20),MONTH(C20),1))</f>
        <v>400000</v>
      </c>
      <c r="E20">
        <f>D20*VLOOKUP(A20,Creditos!$A:$N,6,FALSE)</f>
        <v>12000</v>
      </c>
      <c r="F20">
        <f ca="1">MIN(E20,MAX(0,SUMIFS(Pagos!$G:$G,Pagos!$B:$B,A20,Pagos!$D:$D,"&lt;="&amp;TODAY())-SUMIFS($E:$E,$A:$A,A20,$B:$B,"&lt;"&amp;B20)))</f>
        <v>0</v>
      </c>
      <c r="G20">
        <f t="shared" ca="1" si="0"/>
        <v>12000</v>
      </c>
    </row>
    <row r="21" spans="1:7">
      <c r="A21" t="s">
        <v>47</v>
      </c>
      <c r="B21">
        <v>8</v>
      </c>
      <c r="C21" s="1">
        <f>EDATE(VLOOKUP(A21,Creditos!$A:$N,3,FALSE),B21)</f>
        <v>46210</v>
      </c>
      <c r="D21">
        <f>VLOOKUP(A21,Creditos!$A:$N,5,FALSE)-SUMIFS(Pagos!$H:$H,Pagos!$B:$B,A21,Pagos!$D:$D,"&lt;"&amp;DATE(YEAR(C21),MONTH(C21),1))</f>
        <v>400000</v>
      </c>
      <c r="E21">
        <f>D21*VLOOKUP(A21,Creditos!$A:$N,6,FALSE)</f>
        <v>12000</v>
      </c>
      <c r="F21">
        <f ca="1">MIN(E21,MAX(0,SUMIFS(Pagos!$G:$G,Pagos!$B:$B,A21,Pagos!$D:$D,"&lt;="&amp;TODAY())-SUMIFS($E:$E,$A:$A,A21,$B:$B,"&lt;"&amp;B21)))</f>
        <v>0</v>
      </c>
      <c r="G21">
        <f t="shared" ca="1" si="0"/>
        <v>12000</v>
      </c>
    </row>
    <row r="22" spans="1:7">
      <c r="A22" t="s">
        <v>47</v>
      </c>
      <c r="B22">
        <v>9</v>
      </c>
      <c r="C22" s="1">
        <f>EDATE(VLOOKUP(A22,Creditos!$A:$N,3,FALSE),B22)</f>
        <v>46241</v>
      </c>
      <c r="D22">
        <f>VLOOKUP(A22,Creditos!$A:$N,5,FALSE)-SUMIFS(Pagos!$H:$H,Pagos!$B:$B,A22,Pagos!$D:$D,"&lt;"&amp;DATE(YEAR(C22),MONTH(C22),1))</f>
        <v>400000</v>
      </c>
      <c r="E22">
        <f>D22*VLOOKUP(A22,Creditos!$A:$N,6,FALSE)</f>
        <v>12000</v>
      </c>
      <c r="F22">
        <f ca="1">MIN(E22,MAX(0,SUMIFS(Pagos!$G:$G,Pagos!$B:$B,A22,Pagos!$D:$D,"&lt;="&amp;TODAY())-SUMIFS($E:$E,$A:$A,A22,$B:$B,"&lt;"&amp;B22)))</f>
        <v>0</v>
      </c>
      <c r="G22">
        <f t="shared" ca="1" si="0"/>
        <v>12000</v>
      </c>
    </row>
    <row r="23" spans="1:7">
      <c r="A23" t="s">
        <v>48</v>
      </c>
      <c r="B23">
        <v>1</v>
      </c>
      <c r="C23" s="1">
        <f>EDATE(VLOOKUP(A23,Creditos!$A:$N,3,FALSE),B23)</f>
        <v>46109</v>
      </c>
      <c r="D23">
        <f>VLOOKUP(A23,Creditos!$A:$N,5,FALSE)-SUMIFS(Pagos!$H:$H,Pagos!$B:$B,A23,Pagos!$D:$D,"&lt;"&amp;DATE(YEAR(C23),MONTH(C23),1))</f>
        <v>4000000</v>
      </c>
      <c r="E23">
        <f>D23*VLOOKUP(A23,Creditos!$A:$N,6,FALSE)</f>
        <v>120000</v>
      </c>
      <c r="F23">
        <f ca="1">MIN(E23,MAX(0,SUMIFS(Pagos!$G:$G,Pagos!$B:$B,A23,Pagos!$D:$D,"&lt;="&amp;TODAY())-SUMIFS($E:$E,$A:$A,A23,$B:$B,"&lt;"&amp;B23)))</f>
        <v>120000</v>
      </c>
      <c r="G23">
        <f t="shared" ca="1" si="0"/>
        <v>0</v>
      </c>
    </row>
    <row r="24" spans="1:7">
      <c r="A24" t="s">
        <v>48</v>
      </c>
      <c r="B24">
        <v>2</v>
      </c>
      <c r="C24" s="1">
        <f>EDATE(VLOOKUP(A24,Creditos!$A:$N,3,FALSE),B24)</f>
        <v>46140</v>
      </c>
      <c r="D24">
        <f>VLOOKUP(A24,Creditos!$A:$N,5,FALSE)-SUMIFS(Pagos!$H:$H,Pagos!$B:$B,A24,Pagos!$D:$D,"&lt;"&amp;DATE(YEAR(C24),MONTH(C24),1))</f>
        <v>4000000</v>
      </c>
      <c r="E24">
        <f>D24*VLOOKUP(A24,Creditos!$A:$N,6,FALSE)</f>
        <v>120000</v>
      </c>
      <c r="F24">
        <f ca="1">MIN(E24,MAX(0,SUMIFS(Pagos!$G:$G,Pagos!$B:$B,A24,Pagos!$D:$D,"&lt;="&amp;TODAY())-SUMIFS($E:$E,$A:$A,A24,$B:$B,"&lt;"&amp;B24)))</f>
        <v>120000</v>
      </c>
      <c r="G24">
        <f t="shared" ca="1" si="0"/>
        <v>0</v>
      </c>
    </row>
    <row r="25" spans="1:7">
      <c r="A25" t="s">
        <v>48</v>
      </c>
      <c r="B25">
        <v>3</v>
      </c>
      <c r="C25" s="1">
        <f>EDATE(VLOOKUP(A25,Creditos!$A:$N,3,FALSE),B25)</f>
        <v>46170</v>
      </c>
      <c r="D25">
        <f>VLOOKUP(A25,Creditos!$A:$N,5,FALSE)-SUMIFS(Pagos!$H:$H,Pagos!$B:$B,A25,Pagos!$D:$D,"&lt;"&amp;DATE(YEAR(C25),MONTH(C25),1))</f>
        <v>4000000</v>
      </c>
      <c r="E25">
        <f>D25*VLOOKUP(A25,Creditos!$A:$N,6,FALSE)</f>
        <v>120000</v>
      </c>
      <c r="F25">
        <f ca="1">MIN(E25,MAX(0,SUMIFS(Pagos!$G:$G,Pagos!$B:$B,A25,Pagos!$D:$D,"&lt;="&amp;TODAY())-SUMIFS($E:$E,$A:$A,A25,$B:$B,"&lt;"&amp;B25)))</f>
        <v>120000</v>
      </c>
      <c r="G25">
        <f t="shared" ca="1" si="0"/>
        <v>0</v>
      </c>
    </row>
    <row r="26" spans="1:7">
      <c r="A26" t="s">
        <v>48</v>
      </c>
      <c r="B26">
        <v>4</v>
      </c>
      <c r="C26" s="1">
        <f>EDATE(VLOOKUP(A26,Creditos!$A:$N,3,FALSE),B26)</f>
        <v>46201</v>
      </c>
      <c r="D26">
        <f>VLOOKUP(A26,Creditos!$A:$N,5,FALSE)-SUMIFS(Pagos!$H:$H,Pagos!$B:$B,A26,Pagos!$D:$D,"&lt;"&amp;DATE(YEAR(C26),MONTH(C26),1))</f>
        <v>4000000</v>
      </c>
      <c r="E26">
        <f>D26*VLOOKUP(A26,Creditos!$A:$N,6,FALSE)</f>
        <v>120000</v>
      </c>
      <c r="F26">
        <f ca="1">MIN(E26,MAX(0,SUMIFS(Pagos!$G:$G,Pagos!$B:$B,A26,Pagos!$D:$D,"&lt;="&amp;TODAY())-SUMIFS($E:$E,$A:$A,A26,$B:$B,"&lt;"&amp;B26)))</f>
        <v>120000</v>
      </c>
      <c r="G26">
        <f t="shared" ca="1" si="0"/>
        <v>0</v>
      </c>
    </row>
    <row r="27" spans="1:7">
      <c r="A27" t="s">
        <v>48</v>
      </c>
      <c r="B27">
        <v>5</v>
      </c>
      <c r="C27" s="1">
        <f>EDATE(VLOOKUP(A27,Creditos!$A:$N,3,FALSE),B27)</f>
        <v>46231</v>
      </c>
      <c r="D27">
        <f>VLOOKUP(A27,Creditos!$A:$N,5,FALSE)-SUMIFS(Pagos!$H:$H,Pagos!$B:$B,A27,Pagos!$D:$D,"&lt;"&amp;DATE(YEAR(C27),MONTH(C27),1))</f>
        <v>4000000</v>
      </c>
      <c r="E27">
        <f>D27*VLOOKUP(A27,Creditos!$A:$N,6,FALSE)</f>
        <v>120000</v>
      </c>
      <c r="F27">
        <f ca="1">MIN(E27,MAX(0,SUMIFS(Pagos!$G:$G,Pagos!$B:$B,A27,Pagos!$D:$D,"&lt;="&amp;TODAY())-SUMIFS($E:$E,$A:$A,A27,$B:$B,"&lt;"&amp;B27)))</f>
        <v>120000</v>
      </c>
      <c r="G27">
        <f t="shared" ca="1" si="0"/>
        <v>0</v>
      </c>
    </row>
    <row r="28" spans="1:7">
      <c r="A28" t="s">
        <v>48</v>
      </c>
      <c r="B28">
        <v>6</v>
      </c>
      <c r="C28" s="1">
        <f>EDATE(VLOOKUP(A28,Creditos!$A:$N,3,FALSE),B28)</f>
        <v>46262</v>
      </c>
      <c r="D28">
        <f>VLOOKUP(A28,Creditos!$A:$N,5,FALSE)-SUMIFS(Pagos!$H:$H,Pagos!$B:$B,A28,Pagos!$D:$D,"&lt;"&amp;DATE(YEAR(C28),MONTH(C28),1))</f>
        <v>4000000</v>
      </c>
      <c r="E28">
        <f>D28*VLOOKUP(A28,Creditos!$A:$N,6,FALSE)</f>
        <v>120000</v>
      </c>
      <c r="F28">
        <f ca="1">MIN(E28,MAX(0,SUMIFS(Pagos!$G:$G,Pagos!$B:$B,A28,Pagos!$D:$D,"&lt;="&amp;TODAY())-SUMIFS($E:$E,$A:$A,A28,$B:$B,"&lt;"&amp;B28)))</f>
        <v>0</v>
      </c>
      <c r="G28">
        <f t="shared" ca="1" si="0"/>
        <v>120000</v>
      </c>
    </row>
    <row r="29" spans="1:7">
      <c r="A29" t="s">
        <v>49</v>
      </c>
      <c r="B29">
        <v>1</v>
      </c>
      <c r="C29" s="1">
        <f>EDATE(VLOOKUP(A29,Creditos!$A:$N,3,FALSE),B29)</f>
        <v>46233</v>
      </c>
      <c r="D29">
        <f>VLOOKUP(A29,Creditos!$A:$N,5,FALSE)-SUMIFS(Pagos!$H:$H,Pagos!$B:$B,A29,Pagos!$D:$D,"&lt;"&amp;DATE(YEAR(C29),MONTH(C29),1))</f>
        <v>3500000</v>
      </c>
      <c r="E29">
        <f>D29*VLOOKUP(A29,Creditos!$A:$N,6,FALSE)</f>
        <v>105000</v>
      </c>
      <c r="F29">
        <f ca="1">MIN(E29,MAX(0,SUMIFS(Pagos!$G:$G,Pagos!$B:$B,A29,Pagos!$D:$D,"&lt;="&amp;TODAY())-SUMIFS($E:$E,$A:$A,A29,$B:$B,"&lt;"&amp;B29)))</f>
        <v>105000</v>
      </c>
      <c r="G29">
        <f t="shared" ca="1" si="0"/>
        <v>0</v>
      </c>
    </row>
    <row r="30" spans="1:7">
      <c r="A30" t="s">
        <v>49</v>
      </c>
      <c r="B30">
        <v>2</v>
      </c>
      <c r="C30" s="1">
        <f>EDATE(VLOOKUP(A30,Creditos!$A:$N,3,FALSE),B30)</f>
        <v>46264</v>
      </c>
      <c r="D30">
        <f>VLOOKUP(A30,Creditos!$A:$N,5,FALSE)-SUMIFS(Pagos!$H:$H,Pagos!$B:$B,A30,Pagos!$D:$D,"&lt;"&amp;DATE(YEAR(C30),MONTH(C30),1))</f>
        <v>3500000</v>
      </c>
      <c r="E30">
        <f>D30*VLOOKUP(A30,Creditos!$A:$N,6,FALSE)</f>
        <v>105000</v>
      </c>
      <c r="F30">
        <f ca="1">MIN(E30,MAX(0,SUMIFS(Pagos!$G:$G,Pagos!$B:$B,A30,Pagos!$D:$D,"&lt;="&amp;TODAY())-SUMIFS($E:$E,$A:$A,A30,$B:$B,"&lt;"&amp;B30)))</f>
        <v>0</v>
      </c>
      <c r="G30">
        <f t="shared" ca="1" si="0"/>
        <v>105000</v>
      </c>
    </row>
    <row r="31" spans="1:7">
      <c r="A31" t="s">
        <v>51</v>
      </c>
      <c r="B31">
        <v>1</v>
      </c>
      <c r="C31" s="1">
        <f>EDATE(VLOOKUP(A31,Creditos!$A:$N,3,FALSE),B31)</f>
        <v>46182</v>
      </c>
      <c r="D31">
        <f>VLOOKUP(A31,Creditos!$A:$N,5,FALSE)-SUMIFS(Pagos!$H:$H,Pagos!$B:$B,A31,Pagos!$D:$D,"&lt;"&amp;DATE(YEAR(C31),MONTH(C31),1))</f>
        <v>700000</v>
      </c>
      <c r="E31">
        <f>D31*VLOOKUP(A31,Creditos!$A:$N,6,FALSE)</f>
        <v>21000</v>
      </c>
      <c r="F31">
        <f ca="1">MIN(E31,MAX(0,SUMIFS(Pagos!$G:$G,Pagos!$B:$B,A31,Pagos!$D:$D,"&lt;="&amp;TODAY())-SUMIFS($E:$E,$A:$A,A31,$B:$B,"&lt;"&amp;B31)))</f>
        <v>21000</v>
      </c>
      <c r="G31">
        <f t="shared" ca="1" si="0"/>
        <v>0</v>
      </c>
    </row>
    <row r="32" spans="1:7">
      <c r="A32" t="s">
        <v>51</v>
      </c>
      <c r="B32">
        <v>2</v>
      </c>
      <c r="C32" s="1">
        <f>EDATE(VLOOKUP(A32,Creditos!$A:$N,3,FALSE),B32)</f>
        <v>46212</v>
      </c>
      <c r="D32">
        <f>VLOOKUP(A32,Creditos!$A:$N,5,FALSE)-SUMIFS(Pagos!$H:$H,Pagos!$B:$B,A32,Pagos!$D:$D,"&lt;"&amp;DATE(YEAR(C32),MONTH(C32),1))</f>
        <v>700000</v>
      </c>
      <c r="E32">
        <f>D32*VLOOKUP(A32,Creditos!$A:$N,6,FALSE)</f>
        <v>21000</v>
      </c>
      <c r="F32">
        <f ca="1">MIN(E32,MAX(0,SUMIFS(Pagos!$G:$G,Pagos!$B:$B,A32,Pagos!$D:$D,"&lt;="&amp;TODAY())-SUMIFS($E:$E,$A:$A,A32,$B:$B,"&lt;"&amp;B32)))</f>
        <v>21000</v>
      </c>
      <c r="G32">
        <f t="shared" ca="1" si="0"/>
        <v>0</v>
      </c>
    </row>
    <row r="33" spans="1:7">
      <c r="A33" t="s">
        <v>51</v>
      </c>
      <c r="B33">
        <v>3</v>
      </c>
      <c r="C33" s="1">
        <f>EDATE(VLOOKUP(A33,Creditos!$A:$N,3,FALSE),B33)</f>
        <v>46243</v>
      </c>
      <c r="D33">
        <f>VLOOKUP(A33,Creditos!$A:$N,5,FALSE)-SUMIFS(Pagos!$H:$H,Pagos!$B:$B,A33,Pagos!$D:$D,"&lt;"&amp;DATE(YEAR(C33),MONTH(C33),1))</f>
        <v>700000</v>
      </c>
      <c r="E33">
        <f>D33*VLOOKUP(A33,Creditos!$A:$N,6,FALSE)</f>
        <v>21000</v>
      </c>
      <c r="F33">
        <f ca="1">MIN(E33,MAX(0,SUMIFS(Pagos!$G:$G,Pagos!$B:$B,A33,Pagos!$D:$D,"&lt;="&amp;TODAY())-SUMIFS($E:$E,$A:$A,A33,$B:$B,"&lt;"&amp;B33)))</f>
        <v>0</v>
      </c>
      <c r="G33">
        <f t="shared" ca="1" si="0"/>
        <v>21000</v>
      </c>
    </row>
    <row r="34" spans="1:7">
      <c r="A34" t="s">
        <v>52</v>
      </c>
      <c r="B34">
        <v>1</v>
      </c>
      <c r="C34" s="1">
        <f>EDATE(VLOOKUP(A34,Creditos!$A:$N,3,FALSE),B34)</f>
        <v>46048</v>
      </c>
      <c r="D34">
        <f>VLOOKUP(A34,Creditos!$A:$N,5,FALSE)-SUMIFS(Pagos!$H:$H,Pagos!$B:$B,A34,Pagos!$D:$D,"&lt;"&amp;DATE(YEAR(C34),MONTH(C34),1))</f>
        <v>1500000</v>
      </c>
      <c r="E34">
        <f>D34*VLOOKUP(A34,Creditos!$A:$N,6,FALSE)</f>
        <v>45000</v>
      </c>
      <c r="F34">
        <f ca="1">MIN(E34,MAX(0,SUMIFS(Pagos!$G:$G,Pagos!$B:$B,A34,Pagos!$D:$D,"&lt;="&amp;TODAY())-SUMIFS($E:$E,$A:$A,A34,$B:$B,"&lt;"&amp;B34)))</f>
        <v>45000</v>
      </c>
      <c r="G34">
        <f t="shared" ref="G34:G63" ca="1" si="1">MAX(0,E34-F34)</f>
        <v>0</v>
      </c>
    </row>
    <row r="35" spans="1:7">
      <c r="A35" t="s">
        <v>52</v>
      </c>
      <c r="B35">
        <v>2</v>
      </c>
      <c r="C35" s="1">
        <f>EDATE(VLOOKUP(A35,Creditos!$A:$N,3,FALSE),B35)</f>
        <v>46079</v>
      </c>
      <c r="D35">
        <f>VLOOKUP(A35,Creditos!$A:$N,5,FALSE)-SUMIFS(Pagos!$H:$H,Pagos!$B:$B,A35,Pagos!$D:$D,"&lt;"&amp;DATE(YEAR(C35),MONTH(C35),1))</f>
        <v>1500000</v>
      </c>
      <c r="E35">
        <f>D35*VLOOKUP(A35,Creditos!$A:$N,6,FALSE)</f>
        <v>45000</v>
      </c>
      <c r="F35">
        <f ca="1">MIN(E35,MAX(0,SUMIFS(Pagos!$G:$G,Pagos!$B:$B,A35,Pagos!$D:$D,"&lt;="&amp;TODAY())-SUMIFS($E:$E,$A:$A,A35,$B:$B,"&lt;"&amp;B35)))</f>
        <v>45000</v>
      </c>
      <c r="G35">
        <f t="shared" ca="1" si="1"/>
        <v>0</v>
      </c>
    </row>
    <row r="36" spans="1:7">
      <c r="A36" t="s">
        <v>52</v>
      </c>
      <c r="B36">
        <v>3</v>
      </c>
      <c r="C36" s="1">
        <f>EDATE(VLOOKUP(A36,Creditos!$A:$N,3,FALSE),B36)</f>
        <v>46107</v>
      </c>
      <c r="D36">
        <f>VLOOKUP(A36,Creditos!$A:$N,5,FALSE)-SUMIFS(Pagos!$H:$H,Pagos!$B:$B,A36,Pagos!$D:$D,"&lt;"&amp;DATE(YEAR(C36),MONTH(C36),1))</f>
        <v>1500000</v>
      </c>
      <c r="E36">
        <f>D36*VLOOKUP(A36,Creditos!$A:$N,6,FALSE)</f>
        <v>45000</v>
      </c>
      <c r="F36">
        <f ca="1">MIN(E36,MAX(0,SUMIFS(Pagos!$G:$G,Pagos!$B:$B,A36,Pagos!$D:$D,"&lt;="&amp;TODAY())-SUMIFS($E:$E,$A:$A,A36,$B:$B,"&lt;"&amp;B36)))</f>
        <v>45000</v>
      </c>
      <c r="G36">
        <f t="shared" ca="1" si="1"/>
        <v>0</v>
      </c>
    </row>
    <row r="37" spans="1:7">
      <c r="A37" t="s">
        <v>52</v>
      </c>
      <c r="B37">
        <v>4</v>
      </c>
      <c r="C37" s="1">
        <f>EDATE(VLOOKUP(A37,Creditos!$A:$N,3,FALSE),B37)</f>
        <v>46138</v>
      </c>
      <c r="D37">
        <f>VLOOKUP(A37,Creditos!$A:$N,5,FALSE)-SUMIFS(Pagos!$H:$H,Pagos!$B:$B,A37,Pagos!$D:$D,"&lt;"&amp;DATE(YEAR(C37),MONTH(C37),1))</f>
        <v>1000000</v>
      </c>
      <c r="E37">
        <f>D37*VLOOKUP(A37,Creditos!$A:$N,6,FALSE)</f>
        <v>30000</v>
      </c>
      <c r="F37">
        <f ca="1">MIN(E37,MAX(0,SUMIFS(Pagos!$G:$G,Pagos!$B:$B,A37,Pagos!$D:$D,"&lt;="&amp;TODAY())-SUMIFS($E:$E,$A:$A,A37,$B:$B,"&lt;"&amp;B37)))</f>
        <v>30000</v>
      </c>
      <c r="G37">
        <f t="shared" ca="1" si="1"/>
        <v>0</v>
      </c>
    </row>
    <row r="38" spans="1:7">
      <c r="A38" t="s">
        <v>52</v>
      </c>
      <c r="B38">
        <v>5</v>
      </c>
      <c r="C38" s="1">
        <f>EDATE(VLOOKUP(A38,Creditos!$A:$N,3,FALSE),B38)</f>
        <v>46168</v>
      </c>
      <c r="D38">
        <f>VLOOKUP(A38,Creditos!$A:$N,5,FALSE)-SUMIFS(Pagos!$H:$H,Pagos!$B:$B,A38,Pagos!$D:$D,"&lt;"&amp;DATE(YEAR(C38),MONTH(C38),1))</f>
        <v>1000000</v>
      </c>
      <c r="E38">
        <f>D38*VLOOKUP(A38,Creditos!$A:$N,6,FALSE)</f>
        <v>30000</v>
      </c>
      <c r="F38">
        <f ca="1">MIN(E38,MAX(0,SUMIFS(Pagos!$G:$G,Pagos!$B:$B,A38,Pagos!$D:$D,"&lt;="&amp;TODAY())-SUMIFS($E:$E,$A:$A,A38,$B:$B,"&lt;"&amp;B38)))</f>
        <v>30000</v>
      </c>
      <c r="G38">
        <f t="shared" ca="1" si="1"/>
        <v>0</v>
      </c>
    </row>
    <row r="39" spans="1:7">
      <c r="A39" t="s">
        <v>52</v>
      </c>
      <c r="B39">
        <v>6</v>
      </c>
      <c r="C39" s="1">
        <f>EDATE(VLOOKUP(A39,Creditos!$A:$N,3,FALSE),B39)</f>
        <v>46199</v>
      </c>
      <c r="D39">
        <f>VLOOKUP(A39,Creditos!$A:$N,5,FALSE)-SUMIFS(Pagos!$H:$H,Pagos!$B:$B,A39,Pagos!$D:$D,"&lt;"&amp;DATE(YEAR(C39),MONTH(C39),1))</f>
        <v>1000000</v>
      </c>
      <c r="E39">
        <f>D39*VLOOKUP(A39,Creditos!$A:$N,6,FALSE)</f>
        <v>30000</v>
      </c>
      <c r="F39">
        <f ca="1">MIN(E39,MAX(0,SUMIFS(Pagos!$G:$G,Pagos!$B:$B,A39,Pagos!$D:$D,"&lt;="&amp;TODAY())-SUMIFS($E:$E,$A:$A,A39,$B:$B,"&lt;"&amp;B39)))</f>
        <v>30000</v>
      </c>
      <c r="G39">
        <f t="shared" ca="1" si="1"/>
        <v>0</v>
      </c>
    </row>
    <row r="40" spans="1:7">
      <c r="A40" t="s">
        <v>52</v>
      </c>
      <c r="B40">
        <v>7</v>
      </c>
      <c r="C40" s="1">
        <f>EDATE(VLOOKUP(A40,Creditos!$A:$N,3,FALSE),B40)</f>
        <v>46229</v>
      </c>
      <c r="D40">
        <f>VLOOKUP(A40,Creditos!$A:$N,5,FALSE)-SUMIFS(Pagos!$H:$H,Pagos!$B:$B,A40,Pagos!$D:$D,"&lt;"&amp;DATE(YEAR(C40),MONTH(C40),1))</f>
        <v>1000000</v>
      </c>
      <c r="E40">
        <f>D40*VLOOKUP(A40,Creditos!$A:$N,6,FALSE)</f>
        <v>30000</v>
      </c>
      <c r="F40">
        <f ca="1">MIN(E40,MAX(0,SUMIFS(Pagos!$G:$G,Pagos!$B:$B,A40,Pagos!$D:$D,"&lt;="&amp;TODAY())-SUMIFS($E:$E,$A:$A,A40,$B:$B,"&lt;"&amp;B40)))</f>
        <v>30000</v>
      </c>
      <c r="G40">
        <f t="shared" ca="1" si="1"/>
        <v>0</v>
      </c>
    </row>
    <row r="41" spans="1:7">
      <c r="A41" t="s">
        <v>52</v>
      </c>
      <c r="B41">
        <v>8</v>
      </c>
      <c r="C41" s="1">
        <f>EDATE(VLOOKUP(A41,Creditos!$A:$N,3,FALSE),B41)</f>
        <v>46260</v>
      </c>
      <c r="D41">
        <f>VLOOKUP(A41,Creditos!$A:$N,5,FALSE)-SUMIFS(Pagos!$H:$H,Pagos!$B:$B,A41,Pagos!$D:$D,"&lt;"&amp;DATE(YEAR(C41),MONTH(C41),1))</f>
        <v>1000000</v>
      </c>
      <c r="E41">
        <f>D41*VLOOKUP(A41,Creditos!$A:$N,6,FALSE)</f>
        <v>30000</v>
      </c>
      <c r="F41">
        <f ca="1">MIN(E41,MAX(0,SUMIFS(Pagos!$G:$G,Pagos!$B:$B,A41,Pagos!$D:$D,"&lt;="&amp;TODAY())-SUMIFS($E:$E,$A:$A,A41,$B:$B,"&lt;"&amp;B41)))</f>
        <v>0</v>
      </c>
      <c r="G41">
        <f t="shared" ca="1" si="1"/>
        <v>30000</v>
      </c>
    </row>
    <row r="42" spans="1:7">
      <c r="A42" t="s">
        <v>53</v>
      </c>
      <c r="B42">
        <v>1</v>
      </c>
      <c r="C42" s="1">
        <f>EDATE(VLOOKUP(A42,Creditos!$A:$N,3,FALSE),B42)</f>
        <v>46137</v>
      </c>
      <c r="D42">
        <f>VLOOKUP(A42,Creditos!$A:$N,5,FALSE)-SUMIFS(Pagos!$H:$H,Pagos!$B:$B,A42,Pagos!$D:$D,"&lt;"&amp;DATE(YEAR(C42),MONTH(C42),1))</f>
        <v>500000</v>
      </c>
      <c r="E42">
        <f>D42*VLOOKUP(A42,Creditos!$A:$N,6,FALSE)</f>
        <v>15000</v>
      </c>
      <c r="F42">
        <f ca="1">MIN(E42,MAX(0,SUMIFS(Pagos!$G:$G,Pagos!$B:$B,A42,Pagos!$D:$D,"&lt;="&amp;TODAY())-SUMIFS($E:$E,$A:$A,A42,$B:$B,"&lt;"&amp;B42)))</f>
        <v>15000</v>
      </c>
      <c r="G42">
        <f t="shared" ca="1" si="1"/>
        <v>0</v>
      </c>
    </row>
    <row r="43" spans="1:7">
      <c r="A43" t="s">
        <v>53</v>
      </c>
      <c r="B43">
        <v>2</v>
      </c>
      <c r="C43" s="1">
        <f>EDATE(VLOOKUP(A43,Creditos!$A:$N,3,FALSE),B43)</f>
        <v>46167</v>
      </c>
      <c r="D43">
        <f>VLOOKUP(A43,Creditos!$A:$N,5,FALSE)-SUMIFS(Pagos!$H:$H,Pagos!$B:$B,A43,Pagos!$D:$D,"&lt;"&amp;DATE(YEAR(C43),MONTH(C43),1))</f>
        <v>500000</v>
      </c>
      <c r="E43">
        <f>D43*VLOOKUP(A43,Creditos!$A:$N,6,FALSE)</f>
        <v>15000</v>
      </c>
      <c r="F43">
        <f ca="1">MIN(E43,MAX(0,SUMIFS(Pagos!$G:$G,Pagos!$B:$B,A43,Pagos!$D:$D,"&lt;="&amp;TODAY())-SUMIFS($E:$E,$A:$A,A43,$B:$B,"&lt;"&amp;B43)))</f>
        <v>15000</v>
      </c>
      <c r="G43">
        <f t="shared" ca="1" si="1"/>
        <v>0</v>
      </c>
    </row>
    <row r="44" spans="1:7">
      <c r="A44" t="s">
        <v>53</v>
      </c>
      <c r="B44">
        <v>3</v>
      </c>
      <c r="C44" s="1">
        <f>EDATE(VLOOKUP(A44,Creditos!$A:$N,3,FALSE),B44)</f>
        <v>46198</v>
      </c>
      <c r="D44">
        <f>VLOOKUP(A44,Creditos!$A:$N,5,FALSE)-SUMIFS(Pagos!$H:$H,Pagos!$B:$B,A44,Pagos!$D:$D,"&lt;"&amp;DATE(YEAR(C44),MONTH(C44),1))</f>
        <v>500000</v>
      </c>
      <c r="E44">
        <f>D44*VLOOKUP(A44,Creditos!$A:$N,6,FALSE)</f>
        <v>15000</v>
      </c>
      <c r="F44">
        <f ca="1">MIN(E44,MAX(0,SUMIFS(Pagos!$G:$G,Pagos!$B:$B,A44,Pagos!$D:$D,"&lt;="&amp;TODAY())-SUMIFS($E:$E,$A:$A,A44,$B:$B,"&lt;"&amp;B44)))</f>
        <v>15000</v>
      </c>
      <c r="G44">
        <f t="shared" ca="1" si="1"/>
        <v>0</v>
      </c>
    </row>
    <row r="45" spans="1:7">
      <c r="A45" t="s">
        <v>53</v>
      </c>
      <c r="B45">
        <v>4</v>
      </c>
      <c r="C45" s="1">
        <f>EDATE(VLOOKUP(A45,Creditos!$A:$N,3,FALSE),B45)</f>
        <v>46228</v>
      </c>
      <c r="D45">
        <f>VLOOKUP(A45,Creditos!$A:$N,5,FALSE)-SUMIFS(Pagos!$H:$H,Pagos!$B:$B,A45,Pagos!$D:$D,"&lt;"&amp;DATE(YEAR(C45),MONTH(C45),1))</f>
        <v>500000</v>
      </c>
      <c r="E45">
        <f>D45*VLOOKUP(A45,Creditos!$A:$N,6,FALSE)</f>
        <v>15000</v>
      </c>
      <c r="F45">
        <f ca="1">MIN(E45,MAX(0,SUMIFS(Pagos!$G:$G,Pagos!$B:$B,A45,Pagos!$D:$D,"&lt;="&amp;TODAY())-SUMIFS($E:$E,$A:$A,A45,$B:$B,"&lt;"&amp;B45)))</f>
        <v>15000</v>
      </c>
      <c r="G45">
        <f t="shared" ca="1" si="1"/>
        <v>0</v>
      </c>
    </row>
    <row r="46" spans="1:7">
      <c r="A46" t="s">
        <v>53</v>
      </c>
      <c r="B46">
        <v>5</v>
      </c>
      <c r="C46" s="1">
        <f>EDATE(VLOOKUP(A46,Creditos!$A:$N,3,FALSE),B46)</f>
        <v>46259</v>
      </c>
      <c r="D46">
        <f>VLOOKUP(A46,Creditos!$A:$N,5,FALSE)-SUMIFS(Pagos!$H:$H,Pagos!$B:$B,A46,Pagos!$D:$D,"&lt;"&amp;DATE(YEAR(C46),MONTH(C46),1))</f>
        <v>200000</v>
      </c>
      <c r="E46">
        <f>D46*VLOOKUP(A46,Creditos!$A:$N,6,FALSE)</f>
        <v>6000</v>
      </c>
      <c r="F46">
        <f ca="1">MIN(E46,MAX(0,SUMIFS(Pagos!$G:$G,Pagos!$B:$B,A46,Pagos!$D:$D,"&lt;="&amp;TODAY())-SUMIFS($E:$E,$A:$A,A46,$B:$B,"&lt;"&amp;B46)))</f>
        <v>0</v>
      </c>
      <c r="G46">
        <f t="shared" ca="1" si="1"/>
        <v>6000</v>
      </c>
    </row>
    <row r="47" spans="1:7">
      <c r="A47" t="s">
        <v>54</v>
      </c>
      <c r="B47">
        <v>1</v>
      </c>
      <c r="C47" s="1">
        <f>EDATE(VLOOKUP(A47,Creditos!$A:$N,3,FALSE),B47)</f>
        <v>45802</v>
      </c>
      <c r="D47">
        <f>VLOOKUP(A47,Creditos!$A:$N,5,FALSE)-SUMIFS(Pagos!$H:$H,Pagos!$B:$B,A47,Pagos!$D:$D,"&lt;"&amp;DATE(YEAR(C47),MONTH(C47),1))</f>
        <v>2000000</v>
      </c>
      <c r="E47">
        <f>D47*VLOOKUP(A47,Creditos!$A:$N,6,FALSE)</f>
        <v>60000</v>
      </c>
      <c r="F47">
        <f ca="1">MIN(E47,MAX(0,SUMIFS(Pagos!$G:$G,Pagos!$B:$B,A47,Pagos!$D:$D,"&lt;="&amp;TODAY())-SUMIFS($E:$E,$A:$A,A47,$B:$B,"&lt;"&amp;B47)))</f>
        <v>60000</v>
      </c>
      <c r="G47">
        <f t="shared" ca="1" si="1"/>
        <v>0</v>
      </c>
    </row>
    <row r="48" spans="1:7">
      <c r="A48" t="s">
        <v>54</v>
      </c>
      <c r="B48">
        <v>2</v>
      </c>
      <c r="C48" s="1">
        <f>EDATE(VLOOKUP(A48,Creditos!$A:$N,3,FALSE),B48)</f>
        <v>45833</v>
      </c>
      <c r="D48">
        <f>VLOOKUP(A48,Creditos!$A:$N,5,FALSE)-SUMIFS(Pagos!$H:$H,Pagos!$B:$B,A48,Pagos!$D:$D,"&lt;"&amp;DATE(YEAR(C48),MONTH(C48),1))</f>
        <v>2000000</v>
      </c>
      <c r="E48">
        <f>D48*VLOOKUP(A48,Creditos!$A:$N,6,FALSE)</f>
        <v>60000</v>
      </c>
      <c r="F48">
        <f ca="1">MIN(E48,MAX(0,SUMIFS(Pagos!$G:$G,Pagos!$B:$B,A48,Pagos!$D:$D,"&lt;="&amp;TODAY())-SUMIFS($E:$E,$A:$A,A48,$B:$B,"&lt;"&amp;B48)))</f>
        <v>60000</v>
      </c>
      <c r="G48">
        <f t="shared" ca="1" si="1"/>
        <v>0</v>
      </c>
    </row>
    <row r="49" spans="1:7">
      <c r="A49" t="s">
        <v>54</v>
      </c>
      <c r="B49">
        <v>3</v>
      </c>
      <c r="C49" s="1">
        <f>EDATE(VLOOKUP(A49,Creditos!$A:$N,3,FALSE),B49)</f>
        <v>45863</v>
      </c>
      <c r="D49">
        <f>VLOOKUP(A49,Creditos!$A:$N,5,FALSE)-SUMIFS(Pagos!$H:$H,Pagos!$B:$B,A49,Pagos!$D:$D,"&lt;"&amp;DATE(YEAR(C49),MONTH(C49),1))</f>
        <v>2000000</v>
      </c>
      <c r="E49">
        <f>D49*VLOOKUP(A49,Creditos!$A:$N,6,FALSE)</f>
        <v>60000</v>
      </c>
      <c r="F49">
        <f ca="1">MIN(E49,MAX(0,SUMIFS(Pagos!$G:$G,Pagos!$B:$B,A49,Pagos!$D:$D,"&lt;="&amp;TODAY())-SUMIFS($E:$E,$A:$A,A49,$B:$B,"&lt;"&amp;B49)))</f>
        <v>60000</v>
      </c>
      <c r="G49">
        <f t="shared" ca="1" si="1"/>
        <v>0</v>
      </c>
    </row>
    <row r="50" spans="1:7">
      <c r="A50" t="s">
        <v>54</v>
      </c>
      <c r="B50">
        <v>4</v>
      </c>
      <c r="C50" s="1">
        <f>EDATE(VLOOKUP(A50,Creditos!$A:$N,3,FALSE),B50)</f>
        <v>45894</v>
      </c>
      <c r="D50">
        <f>VLOOKUP(A50,Creditos!$A:$N,5,FALSE)-SUMIFS(Pagos!$H:$H,Pagos!$B:$B,A50,Pagos!$D:$D,"&lt;"&amp;DATE(YEAR(C50),MONTH(C50),1))</f>
        <v>2000000</v>
      </c>
      <c r="E50">
        <f>D50*VLOOKUP(A50,Creditos!$A:$N,6,FALSE)</f>
        <v>60000</v>
      </c>
      <c r="F50">
        <f ca="1">MIN(E50,MAX(0,SUMIFS(Pagos!$G:$G,Pagos!$B:$B,A50,Pagos!$D:$D,"&lt;="&amp;TODAY())-SUMIFS($E:$E,$A:$A,A50,$B:$B,"&lt;"&amp;B50)))</f>
        <v>60000</v>
      </c>
      <c r="G50">
        <f t="shared" ca="1" si="1"/>
        <v>0</v>
      </c>
    </row>
    <row r="51" spans="1:7">
      <c r="A51" t="s">
        <v>54</v>
      </c>
      <c r="B51">
        <v>5</v>
      </c>
      <c r="C51" s="1">
        <f>EDATE(VLOOKUP(A51,Creditos!$A:$N,3,FALSE),B51)</f>
        <v>45925</v>
      </c>
      <c r="D51">
        <f>VLOOKUP(A51,Creditos!$A:$N,5,FALSE)-SUMIFS(Pagos!$H:$H,Pagos!$B:$B,A51,Pagos!$D:$D,"&lt;"&amp;DATE(YEAR(C51),MONTH(C51),1))</f>
        <v>2000000</v>
      </c>
      <c r="E51">
        <f>D51*VLOOKUP(A51,Creditos!$A:$N,6,FALSE)</f>
        <v>60000</v>
      </c>
      <c r="F51">
        <f ca="1">MIN(E51,MAX(0,SUMIFS(Pagos!$G:$G,Pagos!$B:$B,A51,Pagos!$D:$D,"&lt;="&amp;TODAY())-SUMIFS($E:$E,$A:$A,A51,$B:$B,"&lt;"&amp;B51)))</f>
        <v>60000</v>
      </c>
      <c r="G51">
        <f t="shared" ca="1" si="1"/>
        <v>0</v>
      </c>
    </row>
    <row r="52" spans="1:7">
      <c r="A52" t="s">
        <v>54</v>
      </c>
      <c r="B52">
        <v>6</v>
      </c>
      <c r="C52" s="1">
        <f>EDATE(VLOOKUP(A52,Creditos!$A:$N,3,FALSE),B52)</f>
        <v>45955</v>
      </c>
      <c r="D52">
        <f>VLOOKUP(A52,Creditos!$A:$N,5,FALSE)-SUMIFS(Pagos!$H:$H,Pagos!$B:$B,A52,Pagos!$D:$D,"&lt;"&amp;DATE(YEAR(C52),MONTH(C52),1))</f>
        <v>2000000</v>
      </c>
      <c r="E52">
        <f>D52*VLOOKUP(A52,Creditos!$A:$N,6,FALSE)</f>
        <v>60000</v>
      </c>
      <c r="F52">
        <f ca="1">MIN(E52,MAX(0,SUMIFS(Pagos!$G:$G,Pagos!$B:$B,A52,Pagos!$D:$D,"&lt;="&amp;TODAY())-SUMIFS($E:$E,$A:$A,A52,$B:$B,"&lt;"&amp;B52)))</f>
        <v>60000</v>
      </c>
      <c r="G52">
        <f t="shared" ca="1" si="1"/>
        <v>0</v>
      </c>
    </row>
    <row r="53" spans="1:7">
      <c r="A53" t="s">
        <v>54</v>
      </c>
      <c r="B53">
        <v>7</v>
      </c>
      <c r="C53" s="1">
        <f>EDATE(VLOOKUP(A53,Creditos!$A:$N,3,FALSE),B53)</f>
        <v>45986</v>
      </c>
      <c r="D53">
        <f>VLOOKUP(A53,Creditos!$A:$N,5,FALSE)-SUMIFS(Pagos!$H:$H,Pagos!$B:$B,A53,Pagos!$D:$D,"&lt;"&amp;DATE(YEAR(C53),MONTH(C53),1))</f>
        <v>2000000</v>
      </c>
      <c r="E53">
        <f>D53*VLOOKUP(A53,Creditos!$A:$N,6,FALSE)</f>
        <v>60000</v>
      </c>
      <c r="F53">
        <f ca="1">MIN(E53,MAX(0,SUMIFS(Pagos!$G:$G,Pagos!$B:$B,A53,Pagos!$D:$D,"&lt;="&amp;TODAY())-SUMIFS($E:$E,$A:$A,A53,$B:$B,"&lt;"&amp;B53)))</f>
        <v>60000</v>
      </c>
      <c r="G53">
        <f t="shared" ca="1" si="1"/>
        <v>0</v>
      </c>
    </row>
    <row r="54" spans="1:7">
      <c r="A54" t="s">
        <v>54</v>
      </c>
      <c r="B54">
        <v>8</v>
      </c>
      <c r="C54" s="1">
        <f>EDATE(VLOOKUP(A54,Creditos!$A:$N,3,FALSE),B54)</f>
        <v>46016</v>
      </c>
      <c r="D54">
        <f>VLOOKUP(A54,Creditos!$A:$N,5,FALSE)-SUMIFS(Pagos!$H:$H,Pagos!$B:$B,A54,Pagos!$D:$D,"&lt;"&amp;DATE(YEAR(C54),MONTH(C54),1))</f>
        <v>2000000</v>
      </c>
      <c r="E54">
        <f>D54*VLOOKUP(A54,Creditos!$A:$N,6,FALSE)</f>
        <v>60000</v>
      </c>
      <c r="F54">
        <f ca="1">MIN(E54,MAX(0,SUMIFS(Pagos!$G:$G,Pagos!$B:$B,A54,Pagos!$D:$D,"&lt;="&amp;TODAY())-SUMIFS($E:$E,$A:$A,A54,$B:$B,"&lt;"&amp;B54)))</f>
        <v>60000</v>
      </c>
      <c r="G54">
        <f t="shared" ca="1" si="1"/>
        <v>0</v>
      </c>
    </row>
    <row r="55" spans="1:7">
      <c r="A55" t="s">
        <v>54</v>
      </c>
      <c r="B55">
        <v>9</v>
      </c>
      <c r="C55" s="1">
        <f>EDATE(VLOOKUP(A55,Creditos!$A:$N,3,FALSE),B55)</f>
        <v>46047</v>
      </c>
      <c r="D55">
        <f>VLOOKUP(A55,Creditos!$A:$N,5,FALSE)-SUMIFS(Pagos!$H:$H,Pagos!$B:$B,A55,Pagos!$D:$D,"&lt;"&amp;DATE(YEAR(C55),MONTH(C55),1))</f>
        <v>2000000</v>
      </c>
      <c r="E55">
        <f>D55*VLOOKUP(A55,Creditos!$A:$N,6,FALSE)</f>
        <v>60000</v>
      </c>
      <c r="F55">
        <f ca="1">MIN(E55,MAX(0,SUMIFS(Pagos!$G:$G,Pagos!$B:$B,A55,Pagos!$D:$D,"&lt;="&amp;TODAY())-SUMIFS($E:$E,$A:$A,A55,$B:$B,"&lt;"&amp;B55)))</f>
        <v>60000</v>
      </c>
      <c r="G55">
        <f t="shared" ca="1" si="1"/>
        <v>0</v>
      </c>
    </row>
    <row r="56" spans="1:7">
      <c r="A56" t="s">
        <v>54</v>
      </c>
      <c r="B56">
        <v>10</v>
      </c>
      <c r="C56" s="1">
        <f>EDATE(VLOOKUP(A56,Creditos!$A:$N,3,FALSE),B56)</f>
        <v>46078</v>
      </c>
      <c r="D56">
        <f>VLOOKUP(A56,Creditos!$A:$N,5,FALSE)-SUMIFS(Pagos!$H:$H,Pagos!$B:$B,A56,Pagos!$D:$D,"&lt;"&amp;DATE(YEAR(C56),MONTH(C56),1))</f>
        <v>2000000</v>
      </c>
      <c r="E56">
        <f>D56*VLOOKUP(A56,Creditos!$A:$N,6,FALSE)</f>
        <v>60000</v>
      </c>
      <c r="F56">
        <f ca="1">MIN(E56,MAX(0,SUMIFS(Pagos!$G:$G,Pagos!$B:$B,A56,Pagos!$D:$D,"&lt;="&amp;TODAY())-SUMIFS($E:$E,$A:$A,A56,$B:$B,"&lt;"&amp;B56)))</f>
        <v>60000</v>
      </c>
      <c r="G56">
        <f t="shared" ca="1" si="1"/>
        <v>0</v>
      </c>
    </row>
    <row r="57" spans="1:7">
      <c r="A57" t="s">
        <v>54</v>
      </c>
      <c r="B57">
        <v>11</v>
      </c>
      <c r="C57" s="1">
        <f>EDATE(VLOOKUP(A57,Creditos!$A:$N,3,FALSE),B57)</f>
        <v>46106</v>
      </c>
      <c r="D57">
        <f>VLOOKUP(A57,Creditos!$A:$N,5,FALSE)-SUMIFS(Pagos!$H:$H,Pagos!$B:$B,A57,Pagos!$D:$D,"&lt;"&amp;DATE(YEAR(C57),MONTH(C57),1))</f>
        <v>2000000</v>
      </c>
      <c r="E57">
        <f>D57*VLOOKUP(A57,Creditos!$A:$N,6,FALSE)</f>
        <v>60000</v>
      </c>
      <c r="F57">
        <f ca="1">MIN(E57,MAX(0,SUMIFS(Pagos!$G:$G,Pagos!$B:$B,A57,Pagos!$D:$D,"&lt;="&amp;TODAY())-SUMIFS($E:$E,$A:$A,A57,$B:$B,"&lt;"&amp;B57)))</f>
        <v>60000</v>
      </c>
      <c r="G57">
        <f t="shared" ca="1" si="1"/>
        <v>0</v>
      </c>
    </row>
    <row r="58" spans="1:7">
      <c r="A58" t="s">
        <v>54</v>
      </c>
      <c r="B58">
        <v>12</v>
      </c>
      <c r="C58" s="1">
        <f>EDATE(VLOOKUP(A58,Creditos!$A:$N,3,FALSE),B58)</f>
        <v>46137</v>
      </c>
      <c r="D58">
        <f>VLOOKUP(A58,Creditos!$A:$N,5,FALSE)-SUMIFS(Pagos!$H:$H,Pagos!$B:$B,A58,Pagos!$D:$D,"&lt;"&amp;DATE(YEAR(C58),MONTH(C58),1))</f>
        <v>2000000</v>
      </c>
      <c r="E58">
        <f>D58*VLOOKUP(A58,Creditos!$A:$N,6,FALSE)</f>
        <v>60000</v>
      </c>
      <c r="F58">
        <f ca="1">MIN(E58,MAX(0,SUMIFS(Pagos!$G:$G,Pagos!$B:$B,A58,Pagos!$D:$D,"&lt;="&amp;TODAY())-SUMIFS($E:$E,$A:$A,A58,$B:$B,"&lt;"&amp;B58)))</f>
        <v>60000</v>
      </c>
      <c r="G58">
        <f t="shared" ca="1" si="1"/>
        <v>0</v>
      </c>
    </row>
    <row r="59" spans="1:7">
      <c r="A59" t="s">
        <v>54</v>
      </c>
      <c r="B59">
        <v>13</v>
      </c>
      <c r="C59" s="1">
        <f>EDATE(VLOOKUP(A59,Creditos!$A:$N,3,FALSE),B59)</f>
        <v>46167</v>
      </c>
      <c r="D59">
        <f>VLOOKUP(A59,Creditos!$A:$N,5,FALSE)-SUMIFS(Pagos!$H:$H,Pagos!$B:$B,A59,Pagos!$D:$D,"&lt;"&amp;DATE(YEAR(C59),MONTH(C59),1))</f>
        <v>2000000</v>
      </c>
      <c r="E59">
        <f>D59*VLOOKUP(A59,Creditos!$A:$N,6,FALSE)</f>
        <v>60000</v>
      </c>
      <c r="F59">
        <f ca="1">MIN(E59,MAX(0,SUMIFS(Pagos!$G:$G,Pagos!$B:$B,A59,Pagos!$D:$D,"&lt;="&amp;TODAY())-SUMIFS($E:$E,$A:$A,A59,$B:$B,"&lt;"&amp;B59)))</f>
        <v>60000</v>
      </c>
      <c r="G59">
        <f t="shared" ca="1" si="1"/>
        <v>0</v>
      </c>
    </row>
    <row r="60" spans="1:7">
      <c r="A60" t="s">
        <v>54</v>
      </c>
      <c r="B60">
        <v>14</v>
      </c>
      <c r="C60" s="1">
        <f>EDATE(VLOOKUP(A60,Creditos!$A:$N,3,FALSE),B60)</f>
        <v>46198</v>
      </c>
      <c r="D60">
        <f>VLOOKUP(A60,Creditos!$A:$N,5,FALSE)-SUMIFS(Pagos!$H:$H,Pagos!$B:$B,A60,Pagos!$D:$D,"&lt;"&amp;DATE(YEAR(C60),MONTH(C60),1))</f>
        <v>2000000</v>
      </c>
      <c r="E60">
        <f>D60*VLOOKUP(A60,Creditos!$A:$N,6,FALSE)</f>
        <v>60000</v>
      </c>
      <c r="F60">
        <f ca="1">MIN(E60,MAX(0,SUMIFS(Pagos!$G:$G,Pagos!$B:$B,A60,Pagos!$D:$D,"&lt;="&amp;TODAY())-SUMIFS($E:$E,$A:$A,A60,$B:$B,"&lt;"&amp;B60)))</f>
        <v>60000</v>
      </c>
      <c r="G60">
        <f t="shared" ca="1" si="1"/>
        <v>0</v>
      </c>
    </row>
    <row r="61" spans="1:7">
      <c r="A61" t="s">
        <v>54</v>
      </c>
      <c r="B61">
        <v>15</v>
      </c>
      <c r="C61" s="1">
        <f>EDATE(VLOOKUP(A61,Creditos!$A:$N,3,FALSE),B61)</f>
        <v>46228</v>
      </c>
      <c r="D61">
        <f>VLOOKUP(A61,Creditos!$A:$N,5,FALSE)-SUMIFS(Pagos!$H:$H,Pagos!$B:$B,A61,Pagos!$D:$D,"&lt;"&amp;DATE(YEAR(C61),MONTH(C61),1))</f>
        <v>2000000</v>
      </c>
      <c r="E61">
        <f>D61*VLOOKUP(A61,Creditos!$A:$N,6,FALSE)</f>
        <v>60000</v>
      </c>
      <c r="F61">
        <f ca="1">MIN(E61,MAX(0,SUMIFS(Pagos!$G:$G,Pagos!$B:$B,A61,Pagos!$D:$D,"&lt;="&amp;TODAY())-SUMIFS($E:$E,$A:$A,A61,$B:$B,"&lt;"&amp;B61)))</f>
        <v>60000</v>
      </c>
      <c r="G61">
        <f t="shared" ca="1" si="1"/>
        <v>0</v>
      </c>
    </row>
    <row r="62" spans="1:7">
      <c r="A62" t="s">
        <v>54</v>
      </c>
      <c r="B62">
        <v>16</v>
      </c>
      <c r="C62" s="1">
        <f>EDATE(VLOOKUP(A62,Creditos!$A:$N,3,FALSE),B62)</f>
        <v>46259</v>
      </c>
      <c r="D62">
        <f>VLOOKUP(A62,Creditos!$A:$N,5,FALSE)-SUMIFS(Pagos!$H:$H,Pagos!$B:$B,A62,Pagos!$D:$D,"&lt;"&amp;DATE(YEAR(C62),MONTH(C62),1))</f>
        <v>2000000</v>
      </c>
      <c r="E62">
        <f>D62*VLOOKUP(A62,Creditos!$A:$N,6,FALSE)</f>
        <v>60000</v>
      </c>
      <c r="F62">
        <f ca="1">MIN(E62,MAX(0,SUMIFS(Pagos!$G:$G,Pagos!$B:$B,A62,Pagos!$D:$D,"&lt;="&amp;TODAY())-SUMIFS($E:$E,$A:$A,A62,$B:$B,"&lt;"&amp;B62)))</f>
        <v>60000</v>
      </c>
      <c r="G62">
        <f t="shared" ca="1" si="1"/>
        <v>0</v>
      </c>
    </row>
    <row r="63" spans="1:7">
      <c r="A63" t="s">
        <v>56</v>
      </c>
      <c r="B63">
        <v>1</v>
      </c>
      <c r="C63" s="1">
        <f>EDATE(VLOOKUP(A63,Creditos!$A:$N,3,FALSE),B63)</f>
        <v>46266</v>
      </c>
      <c r="D63">
        <f>VLOOKUP(A63,Creditos!$A:$N,5,FALSE)-SUMIFS(Pagos!$H:$H,Pagos!$B:$B,A63,Pagos!$D:$D,"&lt;"&amp;DATE(YEAR(C63),MONTH(C63),1))</f>
        <v>1500000</v>
      </c>
      <c r="E63">
        <f>D63*VLOOKUP(A63,Creditos!$A:$N,6,FALSE)</f>
        <v>45000</v>
      </c>
      <c r="F63">
        <f ca="1">MIN(E63,MAX(0,SUMIFS(Pagos!$G:$G,Pagos!$B:$B,A63,Pagos!$D:$D,"&lt;="&amp;TODAY())-SUMIFS($E:$E,$A:$A,A63,$B:$B,"&lt;"&amp;B63)))</f>
        <v>0</v>
      </c>
      <c r="G63">
        <f t="shared" ca="1" si="1"/>
        <v>45000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52D2-DDB0-4C48-9D50-EA395B2D05EC}">
  <dimension ref="A1:B11"/>
  <sheetViews>
    <sheetView showGridLines="0" tabSelected="1" workbookViewId="0">
      <selection activeCell="F15" sqref="F15"/>
    </sheetView>
  </sheetViews>
  <sheetFormatPr baseColWidth="10" defaultRowHeight="15"/>
  <cols>
    <col min="1" max="1" width="20.42578125" bestFit="1" customWidth="1"/>
    <col min="2" max="2" width="19.140625" customWidth="1"/>
  </cols>
  <sheetData>
    <row r="1" spans="1:2">
      <c r="A1" t="s">
        <v>170</v>
      </c>
      <c r="B1" s="18" t="s">
        <v>180</v>
      </c>
    </row>
    <row r="2" spans="1:2">
      <c r="A2" s="17" t="s">
        <v>171</v>
      </c>
      <c r="B2" s="7">
        <f>SUM(Estado_Cartera!D2:D15)</f>
        <v>23900000</v>
      </c>
    </row>
    <row r="3" spans="1:2">
      <c r="A3" s="17" t="s">
        <v>172</v>
      </c>
      <c r="B3" s="7">
        <f>SUM(Estado_Cartera!E2:E15)</f>
        <v>3033328</v>
      </c>
    </row>
    <row r="4" spans="1:2">
      <c r="A4" s="17" t="s">
        <v>173</v>
      </c>
      <c r="B4" s="7">
        <f>SUM(Estado_Cartera!F2:F15)</f>
        <v>20866672</v>
      </c>
    </row>
    <row r="5" spans="1:2">
      <c r="A5" s="17" t="s">
        <v>174</v>
      </c>
      <c r="B5" s="7">
        <f ca="1">SUM(Estado_Cartera!G2:G15)</f>
        <v>775000</v>
      </c>
    </row>
    <row r="6" spans="1:2">
      <c r="A6" s="17" t="s">
        <v>175</v>
      </c>
      <c r="B6" s="7">
        <f ca="1">SUM(Estado_Cartera!H2:H15)</f>
        <v>21641672</v>
      </c>
    </row>
    <row r="7" spans="1:2">
      <c r="A7" s="17" t="s">
        <v>176</v>
      </c>
      <c r="B7" s="7">
        <f ca="1">SUM(Estado_Cartera!I2:I15)</f>
        <v>1827500</v>
      </c>
    </row>
    <row r="8" spans="1:2">
      <c r="A8" s="17" t="s">
        <v>177</v>
      </c>
      <c r="B8" s="7">
        <f ca="1">COUNTIF(Estado_Cartera!H2:H15, "&gt;0")</f>
        <v>14</v>
      </c>
    </row>
    <row r="9" spans="1:2">
      <c r="A9" s="17" t="s">
        <v>178</v>
      </c>
      <c r="B9" s="7">
        <f ca="1">COUNTIF(Estado_Cartera!J2:J15, "En mora")</f>
        <v>10</v>
      </c>
    </row>
    <row r="10" spans="1:2">
      <c r="A10" s="17" t="s">
        <v>179</v>
      </c>
      <c r="B10" s="7">
        <f ca="1">COUNTIF(Estado_Cartera!J2:J15, "Al día")</f>
        <v>4</v>
      </c>
    </row>
    <row r="11" spans="1:2">
      <c r="A11" t="s">
        <v>181</v>
      </c>
      <c r="B11" s="7">
        <f ca="1">COUNTIF(Estado_Cartera!J2:J15, "Finalizado")</f>
        <v>0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Clientes</vt:lpstr>
      <vt:lpstr>Creditos</vt:lpstr>
      <vt:lpstr>Pagos</vt:lpstr>
      <vt:lpstr>Estado_Cartera</vt:lpstr>
      <vt:lpstr>Calendario_Intereses</vt:lpstr>
      <vt:lpstr>Resumen_Cartera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</cp:lastModifiedBy>
  <dcterms:created xsi:type="dcterms:W3CDTF">2026-09-03T01:42:29Z</dcterms:created>
  <dcterms:modified xsi:type="dcterms:W3CDTF">2026-09-04T15:05:02Z</dcterms:modified>
</cp:coreProperties>
</file>